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9760024c1df17782/Desktop/Data Analsts Projects/"/>
    </mc:Choice>
  </mc:AlternateContent>
  <xr:revisionPtr revIDLastSave="3" documentId="8_{C89C87B6-CE08-4487-8E57-B81493037AFE}" xr6:coauthVersionLast="47" xr6:coauthVersionMax="47" xr10:uidLastSave="{84B9FF4A-0F3F-4267-8235-D67F88B54BAC}"/>
  <bookViews>
    <workbookView xWindow="-120" yWindow="-120" windowWidth="29040" windowHeight="15720" activeTab="4" xr2:uid="{9E568CF3-1D80-4637-AE09-F3515B2BFCF4}"/>
  </bookViews>
  <sheets>
    <sheet name="SalesData" sheetId="2" r:id="rId1"/>
    <sheet name="Pivot_Region" sheetId="7" r:id="rId2"/>
    <sheet name="Pivot_Category" sheetId="9" r:id="rId3"/>
    <sheet name="Pivot_trend" sheetId="10" r:id="rId4"/>
    <sheet name="Dashboard" sheetId="11" r:id="rId5"/>
  </sheets>
  <definedNames>
    <definedName name="ExternalData_1" localSheetId="0" hidden="1">SalesData!$C$5:$K$35</definedName>
    <definedName name="Slicer_Category">#N/A</definedName>
    <definedName name="Slicer_Payment_Mod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11" l="1"/>
  <c r="I52" i="11"/>
  <c r="I5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D59425-EF74-4853-B342-D77452F49044}"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<sst xmlns="http://schemas.openxmlformats.org/spreadsheetml/2006/main" count="152" uniqueCount="44">
  <si>
    <t>Order ID</t>
  </si>
  <si>
    <t>Order Date</t>
  </si>
  <si>
    <t>Region</t>
  </si>
  <si>
    <t>Category</t>
  </si>
  <si>
    <t>Sub-Category</t>
  </si>
  <si>
    <t>Sales</t>
  </si>
  <si>
    <t>Quantity</t>
  </si>
  <si>
    <t>Profit</t>
  </si>
  <si>
    <t>Payment Mode</t>
  </si>
  <si>
    <t>North</t>
  </si>
  <si>
    <t>Electronics</t>
  </si>
  <si>
    <t>Mobile</t>
  </si>
  <si>
    <t>UPI</t>
  </si>
  <si>
    <t>South</t>
  </si>
  <si>
    <t>Clothing</t>
  </si>
  <si>
    <t>Shirt</t>
  </si>
  <si>
    <t>COD</t>
  </si>
  <si>
    <t>West</t>
  </si>
  <si>
    <t>Furniture</t>
  </si>
  <si>
    <t>Chair</t>
  </si>
  <si>
    <t>Card</t>
  </si>
  <si>
    <t>East</t>
  </si>
  <si>
    <t>Laptop</t>
  </si>
  <si>
    <t>Jeans</t>
  </si>
  <si>
    <t>Headphones</t>
  </si>
  <si>
    <t>Table</t>
  </si>
  <si>
    <t>Jacket</t>
  </si>
  <si>
    <t>Sofa</t>
  </si>
  <si>
    <t>T-shirt</t>
  </si>
  <si>
    <t>Tablet</t>
  </si>
  <si>
    <t>Bed</t>
  </si>
  <si>
    <t>Row Labels</t>
  </si>
  <si>
    <t>Grand Total</t>
  </si>
  <si>
    <t>Sum of Sales</t>
  </si>
  <si>
    <t>Sum of Profit</t>
  </si>
  <si>
    <t>Jan</t>
  </si>
  <si>
    <t>Mar</t>
  </si>
  <si>
    <t>Apr</t>
  </si>
  <si>
    <t>May</t>
  </si>
  <si>
    <t>Jun</t>
  </si>
  <si>
    <t>Aug</t>
  </si>
  <si>
    <t>Oct</t>
  </si>
  <si>
    <t>Nov</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</si>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</sst>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4009]\ #,##0"/>
  </numFmts>
  <fonts count="6" x14ac:knownFonts="1">
    <font>
      <sz val="11"/>
      <color theme="1"/>
      <name val="Calibri"/>
      <family val="2"/>
      <scheme val="minor"/>
    </font>
    <font>
      <sz val="12"/>
      <color theme="1"/>
      <name val="Calibri"/>
      <family val="2"/>
      <scheme val="minor"/>
    </font>
    <font>
      <sz val="14"/>
      <color theme="1"/>
      <name val="Calibri"/>
      <family val="2"/>
      <scheme val="minor"/>
    </font>
    <font>
      <b/>
      <u/>
      <sz val="12"/>
      <color theme="1"/>
      <name val="Aptos Narrow"/>
      <family val="2"/>
    </font>
    <font>
      <sz val="14"/>
      <color theme="1"/>
      <name val="Aptos Narrow"/>
      <family val="2"/>
    </font>
    <font>
      <b/>
      <sz val="28"/>
      <color theme="0"/>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164" fontId="0" fillId="0" borderId="0" xfId="0" applyNumberFormat="1"/>
    <xf numFmtId="165" fontId="0" fillId="0" borderId="0" xfId="0" applyNumberFormat="1"/>
    <xf numFmtId="0" fontId="3" fillId="0" borderId="0" xfId="0" applyFont="1"/>
    <xf numFmtId="0" fontId="4" fillId="0" borderId="0" xfId="0" applyFont="1"/>
    <xf numFmtId="0" fontId="2" fillId="0" borderId="0" xfId="0" applyFont="1"/>
    <xf numFmtId="0" fontId="1" fillId="0" borderId="0" xfId="0" applyFont="1"/>
    <xf numFmtId="0" fontId="5" fillId="2" borderId="0" xfId="0" applyFont="1" applyFill="1" applyAlignment="1">
      <alignment horizontal="center" vertical="center"/>
    </xf>
    <xf numFmtId="0" fontId="0" fillId="0" borderId="1" xfId="0" applyNumberFormat="1" applyBorder="1"/>
  </cellXfs>
  <cellStyles count="1">
    <cellStyle name="Normal" xfId="0" builtinId="0"/>
  </cellStyles>
  <dxfs count="3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[Sales_Kpi_Cards_Dashboard_Excel.xlsx]Pivot_Region!PivotTable3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Pivot_Region!$B$3</c:f>
              <c:strCache>
                <c:ptCount val="1"/>
                <c:pt idx="0">
                  <c:v>Total</c:v>
                </c:pt>
              </c:strCache>
            </c:strRef>
          </c:tx>
          <c:spPr>
            <a:solidFill>
              <a:schemeClr val="accent1"/>
            </a:solidFill>
            <a:ln>
              <a:noFill/>
            </a:ln>
            <a:effectLst/>
            <a:sp3d/>
          </c:spPr>
          <c:invertIfNegative val="0"/>
          <c:cat>
            <c:strRef>
              <c:f>Pivot_Region!$A$4:$A$8</c:f>
              <c:strCache>
                <c:ptCount val="4"/>
                <c:pt idx="0">
                  <c:v>East</c:v>
                </c:pt>
                <c:pt idx="1">
                  <c:v>North</c:v>
                </c:pt>
                <c:pt idx="2">
                  <c:v>South</c:v>
                </c:pt>
                <c:pt idx="3">
                  <c:v>West</c:v>
                </c:pt>
              </c:strCache>
            </c:strRef>
          </c:cat>
          <c:val>
            <c:numRef>
              <c:f>Pivot_Region!$B$4:$B$8</c:f>
              <c:numCache>
                <c:formatCode>General</c:formatCode>
                <c:ptCount val="4"/>
                <c:pt idx="0">
                  <c:v>7300</c:v>
                </c:pt>
                <c:pt idx="1">
                  <c:v>23500</c:v>
                </c:pt>
                <c:pt idx="2">
                  <c:v>20500</c:v>
                </c:pt>
                <c:pt idx="3">
                  <c:v>51200</c:v>
                </c:pt>
              </c:numCache>
            </c:numRef>
          </c:val>
          <c:extLst>
            <c:ext xmlns:c16="http://schemas.microsoft.com/office/drawing/2014/chart" uri="{C3380CC4-5D6E-409C-BE32-E72D297353CC}">
              <c16:uniqueId val="{00000000-95B8-483F-97BB-2157B94DB431}"/>
            </c:ext>
          </c:extLst>
        </c:ser>
        <c:dLbls>
          <c:showLegendKey val="0"/>
          <c:showVal val="0"/>
          <c:showCatName val="0"/>
          <c:showSerName val="0"/>
          <c:showPercent val="0"/>
          <c:showBubbleSize val="0"/>
        </c:dLbls>
        <c:gapWidth val="150"/>
        <c:shape val="box"/>
        <c:axId val="402754191"/>
        <c:axId val="402759471"/>
        <c:axId val="0"/>
      </c:bar3DChart>
      <c:catAx>
        <c:axId val="402754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59471"/>
        <c:crosses val="autoZero"/>
        <c:auto val="1"/>
        <c:lblAlgn val="ctr"/>
        <c:lblOffset val="100"/>
        <c:noMultiLvlLbl val="0"/>
      </c:catAx>
      <c:valAx>
        <c:axId val="40275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[Sales_Kpi_Cards_Dashboard_Excel.xlsx]Pivot_Category!PivotTable4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Pivot_Category!$B$3</c:f>
              <c:strCache>
                <c:ptCount val="1"/>
                <c:pt idx="0">
                  <c:v>Total</c:v>
                </c:pt>
              </c:strCache>
            </c:strRef>
          </c:tx>
          <c:spPr>
            <a:solidFill>
              <a:schemeClr val="accent1"/>
            </a:solidFill>
            <a:ln>
              <a:noFill/>
            </a:ln>
            <a:effectLst/>
            <a:sp3d/>
          </c:spPr>
          <c:invertIfNegative val="0"/>
          <c:cat>
            <c:strRef>
              <c:f>Pivot_Category!$A$4:$A$5</c:f>
              <c:strCache>
                <c:ptCount val="1"/>
                <c:pt idx="0">
                  <c:v>Clothing</c:v>
                </c:pt>
              </c:strCache>
            </c:strRef>
          </c:cat>
          <c:val>
            <c:numRef>
              <c:f>Pivot_Category!$B$4:$B$5</c:f>
              <c:numCache>
                <c:formatCode>General</c:formatCode>
                <c:ptCount val="1"/>
                <c:pt idx="0">
                  <c:v>900</c:v>
                </c:pt>
              </c:numCache>
            </c:numRef>
          </c:val>
          <c:extLst>
            <c:ext xmlns:c16="http://schemas.microsoft.com/office/drawing/2014/chart" uri="{C3380CC4-5D6E-409C-BE32-E72D297353CC}">
              <c16:uniqueId val="{00000000-CA12-423F-993A-55153573C8C6}"/>
            </c:ext>
          </c:extLst>
        </c:ser>
        <c:dLbls>
          <c:showLegendKey val="0"/>
          <c:showVal val="0"/>
          <c:showCatName val="0"/>
          <c:showSerName val="0"/>
          <c:showPercent val="0"/>
          <c:showBubbleSize val="0"/>
        </c:dLbls>
        <c:gapWidth val="150"/>
        <c:shape val="box"/>
        <c:axId val="402756111"/>
        <c:axId val="402761871"/>
        <c:axId val="0"/>
      </c:bar3DChart>
      <c:catAx>
        <c:axId val="402756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61871"/>
        <c:crosses val="autoZero"/>
        <c:auto val="1"/>
        <c:lblAlgn val="ctr"/>
        <c:lblOffset val="100"/>
        <c:noMultiLvlLbl val="0"/>
      </c:catAx>
      <c:valAx>
        <c:axId val="402761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5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[Sales_Kpi_Cards_Dashboard_Excel.xlsx]Pivot_trend!PivotTable5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Pivot_trend!$A$4:$A$12</c:f>
              <c:strCache>
                <c:ptCount val="8"/>
                <c:pt idx="0">
                  <c:v>Jan</c:v>
                </c:pt>
                <c:pt idx="1">
                  <c:v>Mar</c:v>
                </c:pt>
                <c:pt idx="2">
                  <c:v>Apr</c:v>
                </c:pt>
                <c:pt idx="3">
                  <c:v>May</c:v>
                </c:pt>
                <c:pt idx="4">
                  <c:v>Jun</c:v>
                </c:pt>
                <c:pt idx="5">
                  <c:v>Aug</c:v>
                </c:pt>
                <c:pt idx="6">
                  <c:v>Oct</c:v>
                </c:pt>
                <c:pt idx="7">
                  <c:v>Nov</c:v>
                </c:pt>
              </c:strCache>
            </c:strRef>
          </c:cat>
          <c:val>
            <c:numRef>
              <c:f>Pivot_trend!$B$4:$B$12</c:f>
              <c:numCache>
                <c:formatCode>General</c:formatCode>
                <c:ptCount val="8"/>
                <c:pt idx="0">
                  <c:v>7200</c:v>
                </c:pt>
                <c:pt idx="1">
                  <c:v>2500</c:v>
                </c:pt>
                <c:pt idx="2">
                  <c:v>3500</c:v>
                </c:pt>
                <c:pt idx="3">
                  <c:v>46000</c:v>
                </c:pt>
                <c:pt idx="4">
                  <c:v>1500</c:v>
                </c:pt>
                <c:pt idx="5">
                  <c:v>17000</c:v>
                </c:pt>
                <c:pt idx="6">
                  <c:v>3800</c:v>
                </c:pt>
                <c:pt idx="7">
                  <c:v>21000</c:v>
                </c:pt>
              </c:numCache>
            </c:numRef>
          </c:val>
          <c:smooth val="0"/>
          <c:extLst>
            <c:ext xmlns:c16="http://schemas.microsoft.com/office/drawing/2014/chart" uri="{C3380CC4-5D6E-409C-BE32-E72D297353CC}">
              <c16:uniqueId val="{00000000-DA5B-4F94-ADBD-AA38E5A0B088}"/>
            </c:ext>
          </c:extLst>
        </c:ser>
        <c:dLbls>
          <c:showLegendKey val="0"/>
          <c:showVal val="0"/>
          <c:showCatName val="0"/>
          <c:showSerName val="0"/>
          <c:showPercent val="0"/>
          <c:showBubbleSize val="0"/>
        </c:dLbls>
        <c:marker val="1"/>
        <c:smooth val="0"/>
        <c:axId val="402777711"/>
        <c:axId val="402778191"/>
      </c:lineChart>
      <c:catAx>
        <c:axId val="40277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78191"/>
        <c:crosses val="autoZero"/>
        <c:auto val="1"/>
        <c:lblAlgn val="ctr"/>
        <c:lblOffset val="100"/>
        <c:noMultiLvlLbl val="0"/>
      </c:catAx>
      <c:valAx>
        <c:axId val="40277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7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[Sales_Kpi_Cards_Dashboard_Excel.xlsx]Pivot_Region!PivotTable3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Pivot_Region!$A$4:$A$8</c:f>
              <c:strCache>
                <c:ptCount val="4"/>
                <c:pt idx="0">
                  <c:v>East</c:v>
                </c:pt>
                <c:pt idx="1">
                  <c:v>North</c:v>
                </c:pt>
                <c:pt idx="2">
                  <c:v>South</c:v>
                </c:pt>
                <c:pt idx="3">
                  <c:v>West</c:v>
                </c:pt>
              </c:strCache>
            </c:strRef>
          </c:cat>
          <c:val>
            <c:numRef>
              <c:f>Pivot_Region!$B$4:$B$8</c:f>
              <c:numCache>
                <c:formatCode>General</c:formatCode>
                <c:ptCount val="4"/>
                <c:pt idx="0">
                  <c:v>7300</c:v>
                </c:pt>
                <c:pt idx="1">
                  <c:v>23500</c:v>
                </c:pt>
                <c:pt idx="2">
                  <c:v>20500</c:v>
                </c:pt>
                <c:pt idx="3">
                  <c:v>51200</c:v>
                </c:pt>
              </c:numCache>
            </c:numRef>
          </c:val>
          <c:extLst>
            <c:ext xmlns:c16="http://schemas.microsoft.com/office/drawing/2014/chart" uri="{C3380CC4-5D6E-409C-BE32-E72D297353CC}">
              <c16:uniqueId val="{00000000-E721-4F6F-A986-5C4FCF27F1BD}"/>
            </c:ext>
          </c:extLst>
        </c:ser>
        <c:dLbls>
          <c:showLegendKey val="0"/>
          <c:showVal val="1"/>
          <c:showCatName val="0"/>
          <c:showSerName val="0"/>
          <c:showPercent val="0"/>
          <c:showBubbleSize val="0"/>
        </c:dLbls>
        <c:gapWidth val="150"/>
        <c:axId val="402754191"/>
        <c:axId val="402759471"/>
      </c:barChart>
      <c:catAx>
        <c:axId val="4027541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59471"/>
        <c:crosses val="autoZero"/>
        <c:auto val="1"/>
        <c:lblAlgn val="ctr"/>
        <c:lblOffset val="100"/>
        <c:noMultiLvlLbl val="0"/>
      </c:catAx>
      <c:valAx>
        <c:axId val="402759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[Sales_Kpi_Cards_Dashboard_Excel.xlsx]Pivot_Category!PivotTable4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Category</a:t>
            </a:r>
          </a:p>
        </c:rich>
      </c:tx>
      <c:layout>
        <c:manualLayout>
          <c:xMode val="edge"/>
          <c:yMode val="edge"/>
          <c:x val="0.32186406461208478"/>
          <c:y val="0.1173129388933598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4499437570302"/>
          <c:y val="0.25157917760279963"/>
          <c:w val="0.72104486939132606"/>
          <c:h val="0.5733020391681809"/>
        </c:manualLayout>
      </c:layout>
      <c:barChart>
        <c:barDir val="bar"/>
        <c:grouping val="stacked"/>
        <c:varyColors val="0"/>
        <c:ser>
          <c:idx val="0"/>
          <c:order val="0"/>
          <c:tx>
            <c:strRef>
              <c:f>Pivot_Category!$B$3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Pivot_Category!$A$4:$A$5</c:f>
              <c:strCache>
                <c:ptCount val="1"/>
                <c:pt idx="0">
                  <c:v>Clothing</c:v>
                </c:pt>
              </c:strCache>
            </c:strRef>
          </c:cat>
          <c:val>
            <c:numRef>
              <c:f>Pivot_Category!$B$4:$B$5</c:f>
              <c:numCache>
                <c:formatCode>General</c:formatCode>
                <c:ptCount val="1"/>
                <c:pt idx="0">
                  <c:v>900</c:v>
                </c:pt>
              </c:numCache>
            </c:numRef>
          </c:val>
          <c:extLst>
            <c:ext xmlns:c16="http://schemas.microsoft.com/office/drawing/2014/chart" uri="{C3380CC4-5D6E-409C-BE32-E72D297353CC}">
              <c16:uniqueId val="{00000000-6D2D-44CB-926D-1847A5DA9080}"/>
            </c:ext>
          </c:extLst>
        </c:ser>
        <c:dLbls>
          <c:showLegendKey val="0"/>
          <c:showVal val="1"/>
          <c:showCatName val="0"/>
          <c:showSerName val="0"/>
          <c:showPercent val="0"/>
          <c:showBubbleSize val="0"/>
        </c:dLbls>
        <c:gapWidth val="150"/>
        <c:overlap val="100"/>
        <c:axId val="402756111"/>
        <c:axId val="402761871"/>
      </c:barChart>
      <c:catAx>
        <c:axId val="4027561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61871"/>
        <c:crosses val="autoZero"/>
        <c:auto val="1"/>
        <c:lblAlgn val="ctr"/>
        <c:lblOffset val="100"/>
        <c:noMultiLvlLbl val="0"/>
      </c:catAx>
      <c:valAx>
        <c:axId val="402761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5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[Sales_Kpi_Cards_Dashboard_Excel.xlsx]Pivot_trend!PivotTable5</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 Trends </a:t>
            </a:r>
          </a:p>
        </c:rich>
      </c:tx>
      <c:layout>
        <c:manualLayout>
          <c:xMode val="edge"/>
          <c:yMode val="edge"/>
          <c:x val="0.32761984124983895"/>
          <c:y val="0.12697044890294104"/>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3824200694164"/>
          <c:y val="0.26003526450367098"/>
          <c:w val="0.6926409318670057"/>
          <c:h val="0.55899443778381364"/>
        </c:manualLayout>
      </c:layout>
      <c:lineChart>
        <c:grouping val="standard"/>
        <c:varyColors val="0"/>
        <c:ser>
          <c:idx val="0"/>
          <c:order val="0"/>
          <c:tx>
            <c:strRef>
              <c:f>Pivot_trend!$B$3</c:f>
              <c:strCache>
                <c:ptCount val="1"/>
                <c:pt idx="0">
                  <c:v>Total</c:v>
                </c:pt>
              </c:strCache>
            </c:strRef>
          </c:tx>
          <c:spPr>
            <a:ln w="38100" cap="flat" cmpd="dbl" algn="ctr">
              <a:solidFill>
                <a:schemeClr val="accent1"/>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Pivot_trend!$A$4:$A$12</c:f>
              <c:strCache>
                <c:ptCount val="8"/>
                <c:pt idx="0">
                  <c:v>Jan</c:v>
                </c:pt>
                <c:pt idx="1">
                  <c:v>Mar</c:v>
                </c:pt>
                <c:pt idx="2">
                  <c:v>Apr</c:v>
                </c:pt>
                <c:pt idx="3">
                  <c:v>May</c:v>
                </c:pt>
                <c:pt idx="4">
                  <c:v>Jun</c:v>
                </c:pt>
                <c:pt idx="5">
                  <c:v>Aug</c:v>
                </c:pt>
                <c:pt idx="6">
                  <c:v>Oct</c:v>
                </c:pt>
                <c:pt idx="7">
                  <c:v>Nov</c:v>
                </c:pt>
              </c:strCache>
            </c:strRef>
          </c:cat>
          <c:val>
            <c:numRef>
              <c:f>Pivot_trend!$B$4:$B$12</c:f>
              <c:numCache>
                <c:formatCode>General</c:formatCode>
                <c:ptCount val="8"/>
                <c:pt idx="0">
                  <c:v>7200</c:v>
                </c:pt>
                <c:pt idx="1">
                  <c:v>2500</c:v>
                </c:pt>
                <c:pt idx="2">
                  <c:v>3500</c:v>
                </c:pt>
                <c:pt idx="3">
                  <c:v>46000</c:v>
                </c:pt>
                <c:pt idx="4">
                  <c:v>1500</c:v>
                </c:pt>
                <c:pt idx="5">
                  <c:v>17000</c:v>
                </c:pt>
                <c:pt idx="6">
                  <c:v>3800</c:v>
                </c:pt>
                <c:pt idx="7">
                  <c:v>21000</c:v>
                </c:pt>
              </c:numCache>
            </c:numRef>
          </c:val>
          <c:smooth val="0"/>
          <c:extLst>
            <c:ext xmlns:c16="http://schemas.microsoft.com/office/drawing/2014/chart" uri="{C3380CC4-5D6E-409C-BE32-E72D297353CC}">
              <c16:uniqueId val="{00000000-5A68-4B2E-B3CC-DCF7EBBCB260}"/>
            </c:ext>
          </c:extLst>
        </c:ser>
        <c:dLbls>
          <c:dLblPos val="ctr"/>
          <c:showLegendKey val="0"/>
          <c:showVal val="1"/>
          <c:showCatName val="0"/>
          <c:showSerName val="0"/>
          <c:showPercent val="0"/>
          <c:showBubbleSize val="0"/>
        </c:dLbls>
        <c:smooth val="0"/>
        <c:axId val="402777711"/>
        <c:axId val="402778191"/>
      </c:lineChart>
      <c:catAx>
        <c:axId val="402777711"/>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78191"/>
        <c:crosses val="autoZero"/>
        <c:auto val="1"/>
        <c:lblAlgn val="ctr"/>
        <c:lblOffset val="100"/>
        <c:noMultiLvlLbl val="0"/>
      </c:catAx>
      <c:valAx>
        <c:axId val="40277819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7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300037</xdr:colOff>
      <xdr:row>1</xdr:row>
      <xdr:rowOff>71436</xdr:rowOff>
    </xdr:from>
    <xdr:to>
      <xdr:col>9</xdr:col>
      <xdr:colOff>495300</xdr:colOff>
      <xdr:row>16</xdr:row>
      <xdr:rowOff>19049</xdr:rowOff>
    </xdr:to>
    <xdr:graphicFrame macro="">
      <xdr:nvGraphicFramePr>
        <xdr:cNvPr id="2" name="Chart 1">
          <a:extLst>
            <a:ext uri="{FF2B5EF4-FFF2-40B4-BE49-F238E27FC236}">
              <a16:creationId xmlns:a16="http://schemas.microsoft.com/office/drawing/2014/main" id="{68C374EB-A8C1-4F74-013D-6966DEBB2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252412</xdr:colOff>
      <xdr:row>11</xdr:row>
      <xdr:rowOff>42862</xdr:rowOff>
    </xdr:from>
    <xdr:to>
      <xdr:col>7</xdr:col>
      <xdr:colOff>390525</xdr:colOff>
      <xdr:row>25</xdr:row>
      <xdr:rowOff>38100</xdr:rowOff>
    </xdr:to>
    <xdr:graphicFrame macro="">
      <xdr:nvGraphicFramePr>
        <xdr:cNvPr id="2" name="Chart 1">
          <a:extLst>
            <a:ext uri="{FF2B5EF4-FFF2-40B4-BE49-F238E27FC236}">
              <a16:creationId xmlns:a16="http://schemas.microsoft.com/office/drawing/2014/main" id="{46F64D1C-63E4-7BA2-78B1-CC94FEC61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276225</xdr:colOff>
      <xdr:row>19</xdr:row>
      <xdr:rowOff>161925</xdr:rowOff>
    </xdr:from>
    <xdr:to>
      <xdr:col>10</xdr:col>
      <xdr:colOff>276225</xdr:colOff>
      <xdr:row>33</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B604D45-E160-9E11-E6B1-C1B58B8B1D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38725" y="3781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4</xdr:row>
      <xdr:rowOff>47625</xdr:rowOff>
    </xdr:from>
    <xdr:to>
      <xdr:col>13</xdr:col>
      <xdr:colOff>76200</xdr:colOff>
      <xdr:row>17</xdr:row>
      <xdr:rowOff>95250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D2CD468-1146-619E-BF30-7E3F8EA9F3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67500" y="809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247650</xdr:colOff>
      <xdr:row>4</xdr:row>
      <xdr:rowOff>161925</xdr:rowOff>
    </xdr:from>
    <xdr:to>
      <xdr:col>16</xdr:col>
      <xdr:colOff>247650</xdr:colOff>
      <xdr:row>18</xdr:row>
      <xdr:rowOff>19050</xdr:rowOff>
    </xdr:to>
    <mc:AlternateContent xmlns:mc="http://schemas.openxmlformats.org/markup-compatibility/2006" xmlns:a14="http://schemas.microsoft.com/office/drawing/2010/main">
      <mc:Choice Requires="a14">
        <xdr:graphicFrame macro="">
          <xdr:nvGraphicFramePr>
            <xdr:cNvPr id="5" name="Payment Mode">
              <a:extLst>
                <a:ext uri="{FF2B5EF4-FFF2-40B4-BE49-F238E27FC236}">
                  <a16:creationId xmlns:a16="http://schemas.microsoft.com/office/drawing/2014/main" id="{A55E734B-83A3-7308-E918-ECB65BD161FC}"/>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667750" y="923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233362</xdr:colOff>
      <xdr:row>3</xdr:row>
      <xdr:rowOff>14287</xdr:rowOff>
    </xdr:from>
    <xdr:to>
      <xdr:col>10</xdr:col>
      <xdr:colOff>538162</xdr:colOff>
      <xdr:row>17</xdr:row>
      <xdr:rowOff>90487</xdr:rowOff>
    </xdr:to>
    <xdr:graphicFrame macro="">
      <xdr:nvGraphicFramePr>
        <xdr:cNvPr id="2" name="Chart 1">
          <a:extLst>
            <a:ext uri="{FF2B5EF4-FFF2-40B4-BE49-F238E27FC236}">
              <a16:creationId xmlns:a16="http://schemas.microsoft.com/office/drawing/2014/main" id="{2778DF2C-5AC0-E1D3-103A-34BC8B114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123265</xdr:colOff>
      <xdr:row>34</xdr:row>
      <xdr:rowOff>123265</xdr:rowOff>
    </xdr:from>
    <xdr:to>
      <xdr:col>13</xdr:col>
      <xdr:colOff>44823</xdr:colOff>
      <xdr:row>44</xdr:row>
      <xdr:rowOff>179294</xdr:rowOff>
    </xdr:to>
    <xdr:sp macro="" textlink="">
      <xdr:nvSpPr>
        <xdr:cNvPr id="21" name="Rectangle 20">
          <a:extLst>
            <a:ext uri="{FF2B5EF4-FFF2-40B4-BE49-F238E27FC236}">
              <a16:creationId xmlns:a16="http://schemas.microsoft.com/office/drawing/2014/main" id="{A6AE32CC-D8C8-86EC-B456-49649F9494E3}"/>
            </a:ext>
          </a:extLst>
        </xdr:cNvPr>
        <xdr:cNvSpPr/>
      </xdr:nvSpPr>
      <xdr:spPr>
        <a:xfrm>
          <a:off x="1938618" y="6600265"/>
          <a:ext cx="6230470" cy="2241176"/>
        </a:xfrm>
        <a:prstGeom prst="rect">
          <a:avLst/>
        </a:prstGeom>
        <a:noFill/>
        <a:ln>
          <a:noFill/>
        </a:ln>
        <a:effectLst>
          <a:outerShdw blurRad="76200" dist="12700" dir="8100000" sy="-23000" kx="800400" algn="br" rotWithShape="0">
            <a:prstClr val="black">
              <a:alpha val="20000"/>
            </a:prstClr>
          </a:outerShdw>
          <a:reflection blurRad="6350" stA="52000" endA="300" endPos="35000" dir="5400000" sy="-100000" algn="bl" rotWithShape="0"/>
          <a:softEdge rad="31750"/>
        </a:effectLst>
        <a:scene3d>
          <a:camera prst="perspectiveFront"/>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accen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lang="en-US" sz="1200" b="0" i="0" u="none" strike="noStrike">
            <a:solidFill>
              <a:srgbClr val="00B050"/>
            </a:solidFill>
            <a:effectLst>
              <a:glow rad="63500">
                <a:schemeClr val="accent3">
                  <a:satMod val="175000"/>
                  <a:alpha val="40000"/>
                </a:schemeClr>
              </a:glow>
            </a:effectLst>
            <a:latin typeface="Calibri"/>
            <a:ea typeface="Calibri"/>
            <a:cs typeface="Calibri"/>
          </a:endParaRPr>
        </a:p>
      </xdr:txBody>
    </xdr:sp>
    <xdr:clientData/>
  </xdr:twoCellAnchor>
  <xdr:twoCellAnchor>
    <xdr:from>
      <xdr:col>1</xdr:col>
      <xdr:colOff>568137</xdr:colOff>
      <xdr:row>14</xdr:row>
      <xdr:rowOff>125507</xdr:rowOff>
    </xdr:from>
    <xdr:to>
      <xdr:col>8</xdr:col>
      <xdr:colOff>358587</xdr:colOff>
      <xdr:row>29</xdr:row>
      <xdr:rowOff>1681</xdr:rowOff>
    </xdr:to>
    <xdr:graphicFrame macro="">
      <xdr:nvGraphicFramePr>
        <xdr:cNvPr id="2" name="Chart 1">
          <a:extLst>
            <a:ext uri="{FF2B5EF4-FFF2-40B4-BE49-F238E27FC236}">
              <a16:creationId xmlns:a16="http://schemas.microsoft.com/office/drawing/2014/main" id="{0D86B139-81EF-46E3-81DE-ECE0E987B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119343</xdr:colOff>
      <xdr:row>15</xdr:row>
      <xdr:rowOff>559</xdr:rowOff>
    </xdr:from>
    <xdr:to>
      <xdr:col>16</xdr:col>
      <xdr:colOff>526676</xdr:colOff>
      <xdr:row>29</xdr:row>
      <xdr:rowOff>124385</xdr:rowOff>
    </xdr:to>
    <xdr:graphicFrame macro="">
      <xdr:nvGraphicFramePr>
        <xdr:cNvPr id="3" name="Chart 2">
          <a:extLst>
            <a:ext uri="{FF2B5EF4-FFF2-40B4-BE49-F238E27FC236}">
              <a16:creationId xmlns:a16="http://schemas.microsoft.com/office/drawing/2014/main" id="{3581B361-F69D-49DA-853D-8B6AA7211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303119</xdr:colOff>
      <xdr:row>13</xdr:row>
      <xdr:rowOff>132789</xdr:rowOff>
    </xdr:from>
    <xdr:to>
      <xdr:col>25</xdr:col>
      <xdr:colOff>392205</xdr:colOff>
      <xdr:row>29</xdr:row>
      <xdr:rowOff>100853</xdr:rowOff>
    </xdr:to>
    <xdr:graphicFrame macro="">
      <xdr:nvGraphicFramePr>
        <xdr:cNvPr id="4" name="Chart 3">
          <a:extLst>
            <a:ext uri="{FF2B5EF4-FFF2-40B4-BE49-F238E27FC236}">
              <a16:creationId xmlns:a16="http://schemas.microsoft.com/office/drawing/2014/main" id="{47D27F47-723A-428B-872B-23902441E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266141</xdr:colOff>
      <xdr:row>31</xdr:row>
      <xdr:rowOff>10084</xdr:rowOff>
    </xdr:from>
    <xdr:to>
      <xdr:col>15</xdr:col>
      <xdr:colOff>324971</xdr:colOff>
      <xdr:row>40</xdr:row>
      <xdr:rowOff>33618</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D3A4C082-11D9-4149-A4C5-80E88C85F8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85288" y="5926790"/>
              <a:ext cx="1874183" cy="200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289111</xdr:colOff>
      <xdr:row>31</xdr:row>
      <xdr:rowOff>26895</xdr:rowOff>
    </xdr:from>
    <xdr:to>
      <xdr:col>19</xdr:col>
      <xdr:colOff>459439</xdr:colOff>
      <xdr:row>40</xdr:row>
      <xdr:rowOff>33618</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9C18A85E-8142-417B-A2D8-AEC65A4429E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228729" y="5943601"/>
              <a:ext cx="1985681" cy="1990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388285</xdr:colOff>
      <xdr:row>31</xdr:row>
      <xdr:rowOff>17372</xdr:rowOff>
    </xdr:from>
    <xdr:to>
      <xdr:col>23</xdr:col>
      <xdr:colOff>220198</xdr:colOff>
      <xdr:row>39</xdr:row>
      <xdr:rowOff>181536</xdr:rowOff>
    </xdr:to>
    <mc:AlternateContent xmlns:mc="http://schemas.openxmlformats.org/markup-compatibility/2006" xmlns:a14="http://schemas.microsoft.com/office/drawing/2010/main">
      <mc:Choice Requires="a14">
        <xdr:graphicFrame macro="">
          <xdr:nvGraphicFramePr>
            <xdr:cNvPr id="7" name="Payment Mode 1">
              <a:extLst>
                <a:ext uri="{FF2B5EF4-FFF2-40B4-BE49-F238E27FC236}">
                  <a16:creationId xmlns:a16="http://schemas.microsoft.com/office/drawing/2014/main" id="{A78C5C54-E662-4EB7-B947-B6AF7A1C6E49}"/>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2748373" y="5934078"/>
              <a:ext cx="1647266" cy="1912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177053</xdr:colOff>
      <xdr:row>9</xdr:row>
      <xdr:rowOff>17368</xdr:rowOff>
    </xdr:from>
    <xdr:to>
      <xdr:col>8</xdr:col>
      <xdr:colOff>310405</xdr:colOff>
      <xdr:row>12</xdr:row>
      <xdr:rowOff>103094</xdr:rowOff>
    </xdr:to>
    <xdr:sp macro="" textlink="I50">
      <xdr:nvSpPr>
        <xdr:cNvPr id="9" name="Rectangle 8">
          <a:extLst>
            <a:ext uri="{FF2B5EF4-FFF2-40B4-BE49-F238E27FC236}">
              <a16:creationId xmlns:a16="http://schemas.microsoft.com/office/drawing/2014/main" id="{436444C5-82CA-6780-1954-447DD30558AE}"/>
            </a:ext>
          </a:extLst>
        </xdr:cNvPr>
        <xdr:cNvSpPr/>
      </xdr:nvSpPr>
      <xdr:spPr>
        <a:xfrm>
          <a:off x="3202641" y="1731868"/>
          <a:ext cx="2206440" cy="657226"/>
        </a:xfrm>
        <a:prstGeom prst="rect">
          <a:avLst/>
        </a:prstGeom>
        <a:solidFill>
          <a:schemeClr val="bg1"/>
        </a:solidFill>
        <a:ln w="19050">
          <a:noFill/>
          <a:prstDash val="solid"/>
        </a:ln>
        <a:effectLst>
          <a:outerShdw blurRad="76200" dist="12700" dir="2700000" sy="-23000" kx="-800400" algn="bl" rotWithShape="0">
            <a:prstClr val="black">
              <a:alpha val="20000"/>
            </a:prstClr>
          </a:outerShdw>
          <a:reflection blurRad="6350" stA="50000" endA="300" endPos="38500" dist="50800" dir="5400000" sy="-100000" algn="bl" rotWithShape="0"/>
        </a:effectLst>
        <a:scene3d>
          <a:camera prst="perspectiveLeft"/>
          <a:lightRig rig="threePt" dir="t"/>
        </a:scene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0" i="0" u="none" strike="noStrike">
              <a:solidFill>
                <a:srgbClr val="00B0F0"/>
              </a:solidFill>
              <a:effectLst>
                <a:glow rad="63500">
                  <a:schemeClr val="accent3">
                    <a:satMod val="175000"/>
                    <a:alpha val="40000"/>
                  </a:schemeClr>
                </a:glow>
              </a:effectLst>
              <a:latin typeface="Calibri"/>
              <a:ea typeface="Calibri"/>
              <a:cs typeface="Calibri"/>
            </a:rPr>
            <a:t>Total Sales</a:t>
          </a:r>
        </a:p>
        <a:p>
          <a:pPr algn="l"/>
          <a:fld id="{73707C14-D2F3-4B0A-BDE7-9DB0EDFAE130}" type="TxLink">
            <a:rPr lang="en-US" sz="2000" b="0" i="0" u="none" strike="noStrike">
              <a:solidFill>
                <a:srgbClr val="00B0F0"/>
              </a:solidFill>
              <a:effectLst>
                <a:glow rad="63500">
                  <a:schemeClr val="accent3">
                    <a:satMod val="175000"/>
                    <a:alpha val="40000"/>
                  </a:schemeClr>
                </a:glow>
              </a:effectLst>
              <a:latin typeface="Calibri"/>
              <a:ea typeface="Calibri"/>
              <a:cs typeface="Calibri"/>
            </a:rPr>
            <a:pPr algn="l"/>
            <a:t>₹ 382,400</a:t>
          </a:fld>
          <a:endParaRPr lang="en-US" sz="2400" b="1" i="1">
            <a:solidFill>
              <a:srgbClr val="00B0F0"/>
            </a:solidFill>
            <a:effectLst>
              <a:glow rad="63500">
                <a:schemeClr val="accent3">
                  <a:satMod val="175000"/>
                  <a:alpha val="40000"/>
                </a:schemeClr>
              </a:glow>
            </a:effectLst>
          </a:endParaRPr>
        </a:p>
      </xdr:txBody>
    </xdr:sp>
    <xdr:clientData/>
  </xdr:twoCellAnchor>
  <xdr:twoCellAnchor>
    <xdr:from>
      <xdr:col>9</xdr:col>
      <xdr:colOff>559176</xdr:colOff>
      <xdr:row>8</xdr:row>
      <xdr:rowOff>140632</xdr:rowOff>
    </xdr:from>
    <xdr:to>
      <xdr:col>14</xdr:col>
      <xdr:colOff>111500</xdr:colOff>
      <xdr:row>12</xdr:row>
      <xdr:rowOff>159683</xdr:rowOff>
    </xdr:to>
    <xdr:sp macro="" textlink="I52">
      <xdr:nvSpPr>
        <xdr:cNvPr id="10" name="Rectangle 9">
          <a:extLst>
            <a:ext uri="{FF2B5EF4-FFF2-40B4-BE49-F238E27FC236}">
              <a16:creationId xmlns:a16="http://schemas.microsoft.com/office/drawing/2014/main" id="{08C58804-AA6B-8D09-E3F7-507C9B9008BE}"/>
            </a:ext>
          </a:extLst>
        </xdr:cNvPr>
        <xdr:cNvSpPr/>
      </xdr:nvSpPr>
      <xdr:spPr>
        <a:xfrm>
          <a:off x="6262970" y="1664632"/>
          <a:ext cx="2577912" cy="781051"/>
        </a:xfrm>
        <a:prstGeom prst="rect">
          <a:avLst/>
        </a:prstGeom>
        <a:noFill/>
        <a:ln>
          <a:noFill/>
        </a:ln>
        <a:effectLst>
          <a:outerShdw blurRad="76200" dist="12700" dir="8100000" sy="-23000" kx="8004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200" b="0" i="0" u="none" strike="noStrike">
              <a:solidFill>
                <a:srgbClr val="00B050"/>
              </a:solidFill>
              <a:effectLst>
                <a:glow rad="63500">
                  <a:schemeClr val="accent3">
                    <a:satMod val="175000"/>
                    <a:alpha val="40000"/>
                  </a:schemeClr>
                </a:glow>
              </a:effectLst>
              <a:latin typeface="Calibri"/>
              <a:ea typeface="Calibri"/>
              <a:cs typeface="Calibri"/>
            </a:rPr>
            <a:t>Total Profit</a:t>
          </a:r>
          <a:r>
            <a:rPr lang="en-US" sz="1200" b="0" i="0" u="none" strike="noStrike" baseline="0">
              <a:solidFill>
                <a:srgbClr val="00B050"/>
              </a:solidFill>
              <a:effectLst>
                <a:glow rad="63500">
                  <a:schemeClr val="accent3">
                    <a:satMod val="175000"/>
                    <a:alpha val="40000"/>
                  </a:schemeClr>
                </a:glow>
              </a:effectLst>
              <a:latin typeface="Calibri"/>
              <a:ea typeface="Calibri"/>
              <a:cs typeface="Calibri"/>
            </a:rPr>
            <a:t> </a:t>
          </a:r>
        </a:p>
        <a:p>
          <a:pPr algn="l"/>
          <a:fld id="{216B664E-764E-4404-9DB1-255E3441F400}" type="TxLink">
            <a:rPr lang="en-US" sz="2000" b="0" i="0" u="none" strike="noStrike">
              <a:solidFill>
                <a:srgbClr val="00B050"/>
              </a:solidFill>
              <a:effectLst>
                <a:glow rad="63500">
                  <a:schemeClr val="accent3">
                    <a:satMod val="175000"/>
                    <a:alpha val="40000"/>
                  </a:schemeClr>
                </a:glow>
              </a:effectLst>
              <a:latin typeface="Calibri"/>
              <a:ea typeface="Calibri"/>
              <a:cs typeface="Calibri"/>
            </a:rPr>
            <a:pPr algn="l"/>
            <a:t>₹ 76,520</a:t>
          </a:fld>
          <a:endParaRPr lang="en-US" sz="2400" b="1" i="1">
            <a:solidFill>
              <a:srgbClr val="00B050"/>
            </a:solidFill>
            <a:effectLst>
              <a:glow rad="63500">
                <a:schemeClr val="accent3">
                  <a:satMod val="175000"/>
                  <a:alpha val="40000"/>
                </a:schemeClr>
              </a:glow>
            </a:effectLst>
          </a:endParaRPr>
        </a:p>
      </xdr:txBody>
    </xdr:sp>
    <xdr:clientData/>
  </xdr:twoCellAnchor>
  <xdr:twoCellAnchor>
    <xdr:from>
      <xdr:col>13</xdr:col>
      <xdr:colOff>211231</xdr:colOff>
      <xdr:row>8</xdr:row>
      <xdr:rowOff>76761</xdr:rowOff>
    </xdr:from>
    <xdr:to>
      <xdr:col>17</xdr:col>
      <xdr:colOff>115982</xdr:colOff>
      <xdr:row>12</xdr:row>
      <xdr:rowOff>95811</xdr:rowOff>
    </xdr:to>
    <xdr:sp macro="" textlink="">
      <xdr:nvSpPr>
        <xdr:cNvPr id="11" name="Rectangle 10">
          <a:extLst>
            <a:ext uri="{FF2B5EF4-FFF2-40B4-BE49-F238E27FC236}">
              <a16:creationId xmlns:a16="http://schemas.microsoft.com/office/drawing/2014/main" id="{893B4A30-08D5-165D-D4B3-95216429DB6F}"/>
            </a:ext>
          </a:extLst>
        </xdr:cNvPr>
        <xdr:cNvSpPr/>
      </xdr:nvSpPr>
      <xdr:spPr>
        <a:xfrm>
          <a:off x="8335496" y="1600761"/>
          <a:ext cx="2325221" cy="781050"/>
        </a:xfrm>
        <a:prstGeom prst="rect">
          <a:avLst/>
        </a:prstGeom>
        <a:solidFill>
          <a:schemeClr val="bg1"/>
        </a:solidFill>
        <a:ln w="19050">
          <a:noFill/>
          <a:prstDash val="solid"/>
        </a:ln>
        <a:effectLst>
          <a:outerShdw blurRad="76200" dist="12700" dir="2700000" sy="-23000" kx="-800400" algn="bl" rotWithShape="0">
            <a:prstClr val="black">
              <a:alpha val="20000"/>
            </a:prstClr>
          </a:outerShdw>
        </a:effectLst>
        <a:scene3d>
          <a:camera prst="obliqueBottomLeft"/>
          <a:lightRig rig="threePt" dir="t"/>
        </a:scene3d>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ctr"/>
          <a:r>
            <a:rPr lang="en-US" sz="1200" b="1" i="1">
              <a:solidFill>
                <a:schemeClr val="tx1">
                  <a:lumMod val="95000"/>
                  <a:lumOff val="5000"/>
                </a:schemeClr>
              </a:solidFill>
              <a:effectLst>
                <a:glow rad="101600">
                  <a:schemeClr val="accent3">
                    <a:satMod val="175000"/>
                    <a:alpha val="40000"/>
                  </a:schemeClr>
                </a:glow>
              </a:effectLst>
            </a:rPr>
            <a:t>Total</a:t>
          </a:r>
          <a:r>
            <a:rPr lang="en-US" sz="1200" b="1" i="1" baseline="0">
              <a:solidFill>
                <a:schemeClr val="tx1">
                  <a:lumMod val="95000"/>
                  <a:lumOff val="5000"/>
                </a:schemeClr>
              </a:solidFill>
              <a:effectLst>
                <a:glow rad="101600">
                  <a:schemeClr val="accent3">
                    <a:satMod val="175000"/>
                    <a:alpha val="40000"/>
                  </a:schemeClr>
                </a:glow>
              </a:effectLst>
            </a:rPr>
            <a:t> Orders</a:t>
          </a:r>
        </a:p>
        <a:p>
          <a:pPr algn="ctr"/>
          <a:r>
            <a:rPr lang="en-US" sz="1100" b="1" i="1" baseline="0">
              <a:solidFill>
                <a:schemeClr val="tx1">
                  <a:lumMod val="95000"/>
                  <a:lumOff val="5000"/>
                </a:schemeClr>
              </a:solidFill>
              <a:effectLst>
                <a:glow rad="101600">
                  <a:schemeClr val="accent3">
                    <a:satMod val="175000"/>
                    <a:alpha val="40000"/>
                  </a:schemeClr>
                </a:glow>
              </a:effectLst>
            </a:rPr>
            <a:t> </a:t>
          </a:r>
          <a:r>
            <a:rPr lang="en-US" sz="2400" b="1" i="1" baseline="0">
              <a:solidFill>
                <a:schemeClr val="tx1">
                  <a:lumMod val="95000"/>
                  <a:lumOff val="5000"/>
                </a:schemeClr>
              </a:solidFill>
              <a:effectLst>
                <a:glow rad="101600">
                  <a:schemeClr val="accent3">
                    <a:satMod val="175000"/>
                    <a:alpha val="40000"/>
                  </a:schemeClr>
                </a:glow>
              </a:effectLst>
            </a:rPr>
            <a:t>30</a:t>
          </a:r>
          <a:endParaRPr lang="en-US" sz="1200" b="1" i="1">
            <a:solidFill>
              <a:schemeClr val="tx1">
                <a:lumMod val="95000"/>
                <a:lumOff val="5000"/>
              </a:schemeClr>
            </a:solidFill>
            <a:effectLst>
              <a:glow rad="101600">
                <a:schemeClr val="accent3">
                  <a:satMod val="175000"/>
                  <a:alpha val="40000"/>
                </a:schemeClr>
              </a:glow>
            </a:effectLst>
          </a:endParaRPr>
        </a:p>
      </xdr:txBody>
    </xdr:sp>
    <xdr:clientData/>
  </xdr:twoCellAnchor>
  <xdr:twoCellAnchor>
    <xdr:from>
      <xdr:col>2</xdr:col>
      <xdr:colOff>307043</xdr:colOff>
      <xdr:row>32</xdr:row>
      <xdr:rowOff>55469</xdr:rowOff>
    </xdr:from>
    <xdr:to>
      <xdr:col>4</xdr:col>
      <xdr:colOff>512110</xdr:colOff>
      <xdr:row>34</xdr:row>
      <xdr:rowOff>103094</xdr:rowOff>
    </xdr:to>
    <xdr:sp macro="" textlink="">
      <xdr:nvSpPr>
        <xdr:cNvPr id="15" name="Rectangle 14">
          <a:extLst>
            <a:ext uri="{FF2B5EF4-FFF2-40B4-BE49-F238E27FC236}">
              <a16:creationId xmlns:a16="http://schemas.microsoft.com/office/drawing/2014/main" id="{007BDAE6-1844-D888-5F56-B8ECB2E7DC4F}"/>
            </a:ext>
          </a:extLst>
        </xdr:cNvPr>
        <xdr:cNvSpPr/>
      </xdr:nvSpPr>
      <xdr:spPr>
        <a:xfrm>
          <a:off x="1517278" y="6151469"/>
          <a:ext cx="1415303" cy="428625"/>
        </a:xfrm>
        <a:prstGeom prst="rect">
          <a:avLst/>
        </a:prstGeom>
        <a:noFill/>
        <a:ln>
          <a:noFill/>
        </a:ln>
        <a:effectLst>
          <a:reflection blurRad="6350" stA="50000" endA="300" endPos="38500" dist="50800" dir="5400000" sy="-100000" algn="bl" rotWithShape="0"/>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800" b="1" i="0" u="sng">
              <a:solidFill>
                <a:schemeClr val="tx1"/>
              </a:solidFill>
            </a:rPr>
            <a:t>Key</a:t>
          </a:r>
          <a:r>
            <a:rPr lang="en-US" sz="1800" b="1" i="0" u="sng" baseline="0">
              <a:solidFill>
                <a:schemeClr val="tx1"/>
              </a:solidFill>
            </a:rPr>
            <a:t> Insight's</a:t>
          </a:r>
        </a:p>
        <a:p>
          <a:pPr algn="l"/>
          <a:endParaRPr lang="en-US" sz="1800" b="1" i="0" u="sng">
            <a:solidFill>
              <a:schemeClr val="tx1"/>
            </a:solidFill>
          </a:endParaRPr>
        </a:p>
      </xdr:txBody>
    </xdr:sp>
    <xdr:clientData/>
  </xdr:twoCellAnchor>
  <xdr:twoCellAnchor>
    <xdr:from>
      <xdr:col>4</xdr:col>
      <xdr:colOff>268941</xdr:colOff>
      <xdr:row>36</xdr:row>
      <xdr:rowOff>100853</xdr:rowOff>
    </xdr:from>
    <xdr:to>
      <xdr:col>5</xdr:col>
      <xdr:colOff>578224</xdr:colOff>
      <xdr:row>40</xdr:row>
      <xdr:rowOff>73959</xdr:rowOff>
    </xdr:to>
    <xdr:sp macro="" textlink="">
      <xdr:nvSpPr>
        <xdr:cNvPr id="22" name="Rectangle 21">
          <a:extLst>
            <a:ext uri="{FF2B5EF4-FFF2-40B4-BE49-F238E27FC236}">
              <a16:creationId xmlns:a16="http://schemas.microsoft.com/office/drawing/2014/main" id="{0200598F-E198-4BBD-88C4-77C59496D563}"/>
            </a:ext>
          </a:extLst>
        </xdr:cNvPr>
        <xdr:cNvSpPr/>
      </xdr:nvSpPr>
      <xdr:spPr>
        <a:xfrm>
          <a:off x="2689412" y="7048500"/>
          <a:ext cx="914400" cy="914400"/>
        </a:xfrm>
        <a:prstGeom prst="rect">
          <a:avLst/>
        </a:prstGeom>
        <a:noFill/>
        <a:ln>
          <a:noFill/>
        </a:ln>
        <a:effectLst>
          <a:outerShdw blurRad="76200" dist="12700" dir="8100000" sy="-23000" kx="800400" algn="br" rotWithShape="0">
            <a:prstClr val="black">
              <a:alpha val="20000"/>
            </a:prstClr>
          </a:outerShdw>
          <a:reflection blurRad="6350" stA="52000" endA="300" endPos="35000" dir="5400000" sy="-100000" algn="bl" rotWithShape="0"/>
          <a:softEdge rad="31750"/>
        </a:effectLst>
        <a:scene3d>
          <a:camera prst="perspectiveFront"/>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accen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lang="en-US" sz="1200" b="0" i="0" u="none" strike="noStrike">
            <a:solidFill>
              <a:srgbClr val="00B050"/>
            </a:solidFill>
            <a:effectLst>
              <a:glow rad="63500">
                <a:schemeClr val="accent3">
                  <a:satMod val="175000"/>
                  <a:alpha val="40000"/>
                </a:schemeClr>
              </a:glow>
            </a:effectLst>
            <a:latin typeface="Calibri"/>
            <a:ea typeface="Calibri"/>
            <a:cs typeface="Calibri"/>
          </a:endParaRPr>
        </a:p>
      </xdr:txBody>
    </xdr:sp>
    <xdr:clientData/>
  </xdr:twoCellAnchor>
  <xdr:twoCellAnchor editAs="oneCell">
    <xdr:from>
      <xdr:col>3</xdr:col>
      <xdr:colOff>313765</xdr:colOff>
      <xdr:row>35</xdr:row>
      <xdr:rowOff>123264</xdr:rowOff>
    </xdr:from>
    <xdr:to>
      <xdr:col>11</xdr:col>
      <xdr:colOff>65555</xdr:colOff>
      <xdr:row>42</xdr:row>
      <xdr:rowOff>177612</xdr:rowOff>
    </xdr:to>
    <xdr:pic>
      <xdr:nvPicPr>
        <xdr:cNvPr id="24" name="Picture 23">
          <a:extLst>
            <a:ext uri="{FF2B5EF4-FFF2-40B4-BE49-F238E27FC236}">
              <a16:creationId xmlns:a16="http://schemas.microsoft.com/office/drawing/2014/main" id="{3FE75986-08F9-FF90-281D-00FD1D830E7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29118" y="6835588"/>
          <a:ext cx="4850466" cy="1623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u Maury" refreshedDate="46133.544941550928" createdVersion="8" refreshedVersion="8" minRefreshableVersion="3" recordCount="30" xr:uid="{3A22D660-006C-4AC1-ABF0-9F52ABDAF26A}">
  <cacheSource type="worksheet">
    <worksheetSource name="SalesData"/>
  </cacheSource>
  <cacheFields count="10">
    <cacheField name="Order ID" numFmtId="0">
      <sharedItems containsSemiMixedTypes="0" containsString="0" containsNumber="1" containsInteger="1" minValue="1" maxValue="30"/>
    </cacheField>
    <cacheField name="Order Date" numFmtId="14">
      <sharedItems containsSemiMixedTypes="0" containsNonDate="0" containsDate="1" containsString="0" minDate="2024-01-05T00:00:00" maxDate="2024-12-19T00:00:00" count="30">
        <d v="2024-01-05T00:00:00"/>
        <d v="2024-01-12T00:00:00"/>
        <d v="2024-02-10T00:00:00"/>
        <d v="2024-02-18T00:00:00"/>
        <d v="2024-03-02T00:00:00"/>
        <d v="2024-03-15T00:00:00"/>
        <d v="2024-04-01T00:00:00"/>
        <d v="2024-04-12T00:00:00"/>
        <d v="2024-05-05T00:00:00"/>
        <d v="2024-05-20T00:00:00"/>
        <d v="2024-06-03T00:00:00"/>
        <d v="2024-06-18T00:00:00"/>
        <d v="2024-07-07T00:00:00"/>
        <d v="2024-07-19T00:00:00"/>
        <d v="2024-08-02T00:00:00"/>
        <d v="2024-08-15T00:00:00"/>
        <d v="2024-09-01T00:00:00"/>
        <d v="2024-09-18T00:00:00"/>
        <d v="2024-10-05T00:00:00"/>
        <d v="2024-10-20T00:00:00"/>
        <d v="2024-11-03T00:00:00"/>
        <d v="2024-11-15T00:00:00"/>
        <d v="2024-12-01T00:00:00"/>
        <d v="2024-12-18T00:00:00"/>
        <d v="2024-01-25T00:00:00"/>
        <d v="2024-02-28T00:00:00"/>
        <d v="2024-03-22T00:00:00"/>
        <d v="2024-04-25T00:00:00"/>
        <d v="2024-05-30T00:00:00"/>
        <d v="2024-06-25T00:00:00"/>
      </sharedItems>
      <fieldGroup par="9"/>
    </cacheField>
    <cacheField name="Region" numFmtId="0">
      <sharedItems count="4">
        <s v="North"/>
        <s v="South"/>
        <s v="West"/>
        <s v="East"/>
      </sharedItems>
    </cacheField>
    <cacheField name="Category" numFmtId="0">
      <sharedItems count="3">
        <s v="Electronics"/>
        <s v="Clothing"/>
        <s v="Furniture"/>
      </sharedItems>
    </cacheField>
    <cacheField name="Sub-Category" numFmtId="0">
      <sharedItems/>
    </cacheField>
    <cacheField name="Sales" numFmtId="0">
      <sharedItems containsSemiMixedTypes="0" containsString="0" containsNumber="1" containsInteger="1" minValue="1500" maxValue="48000"/>
    </cacheField>
    <cacheField name="Quantity" numFmtId="0">
      <sharedItems containsSemiMixedTypes="0" containsString="0" containsNumber="1" containsInteger="1" minValue="1" maxValue="3"/>
    </cacheField>
    <cacheField name="Profit" numFmtId="0">
      <sharedItems containsSemiMixedTypes="0" containsString="0" containsNumber="1" containsInteger="1" minValue="400" maxValue="9000"/>
    </cacheField>
    <cacheField name="Payment Mode" numFmtId="0">
      <sharedItems count="3">
        <s v="UPI"/>
        <s v="COD"/>
        <s v="Card"/>
      </sharedItems>
    </cacheField>
    <cacheField name="Months (Order Date)" numFmtId="0" databaseField="0">
      <fieldGroup base="1">
        <rangePr groupBy="months" startDate="2024-01-05T00:00:00" endDate="2024-12-19T00:00:00"/>
        <groupItems count="14">
          <s v="&lt;1/5/2024"/>
          <s v="Jan"/>
          <s v="Feb"/>
          <s v="Mar"/>
          <s v="Apr"/>
          <s v="May"/>
          <s v="Jun"/>
          <s v="Jul"/>
          <s v="Aug"/>
          <s v="Sep"/>
          <s v="Oct"/>
          <s v="Nov"/>
          <s v="Dec"/>
          <s v="&gt;12/19/2024"/>
        </groupItems>
      </fieldGroup>
    </cacheField>
  </cacheFields>
  <extLst>
    <ext xmlns:x14="http://schemas.microsoft.com/office/spreadsheetml/2009/9/main" uri="{725AE2AE-9491-48be-B2B4-4EB974FC3084}">
      <x14:pivotCacheDefinition pivotCacheId="479399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x v="0"/>
    <x v="0"/>
    <x v="0"/>
    <s v="Mobile"/>
    <n v="15000"/>
    <n v="2"/>
    <n v="3000"/>
    <x v="0"/>
  </r>
  <r>
    <n v="2"/>
    <x v="1"/>
    <x v="1"/>
    <x v="1"/>
    <s v="Shirt"/>
    <n v="2000"/>
    <n v="3"/>
    <n v="500"/>
    <x v="1"/>
  </r>
  <r>
    <n v="3"/>
    <x v="2"/>
    <x v="2"/>
    <x v="2"/>
    <s v="Chair"/>
    <n v="5000"/>
    <n v="1"/>
    <n v="1200"/>
    <x v="2"/>
  </r>
  <r>
    <n v="4"/>
    <x v="3"/>
    <x v="3"/>
    <x v="0"/>
    <s v="Laptop"/>
    <n v="45000"/>
    <n v="1"/>
    <n v="8000"/>
    <x v="0"/>
  </r>
  <r>
    <n v="5"/>
    <x v="4"/>
    <x v="0"/>
    <x v="1"/>
    <s v="Jeans"/>
    <n v="2500"/>
    <n v="2"/>
    <n v="700"/>
    <x v="1"/>
  </r>
  <r>
    <n v="6"/>
    <x v="5"/>
    <x v="2"/>
    <x v="0"/>
    <s v="Headphones"/>
    <n v="3000"/>
    <n v="2"/>
    <n v="800"/>
    <x v="2"/>
  </r>
  <r>
    <n v="7"/>
    <x v="6"/>
    <x v="1"/>
    <x v="2"/>
    <s v="Table"/>
    <n v="7000"/>
    <n v="1"/>
    <n v="1500"/>
    <x v="0"/>
  </r>
  <r>
    <n v="8"/>
    <x v="7"/>
    <x v="3"/>
    <x v="1"/>
    <s v="Jacket"/>
    <n v="3500"/>
    <n v="2"/>
    <n v="900"/>
    <x v="1"/>
  </r>
  <r>
    <n v="9"/>
    <x v="8"/>
    <x v="2"/>
    <x v="0"/>
    <s v="Mobile"/>
    <n v="18000"/>
    <n v="2"/>
    <n v="3500"/>
    <x v="0"/>
  </r>
  <r>
    <n v="10"/>
    <x v="9"/>
    <x v="0"/>
    <x v="2"/>
    <s v="Sofa"/>
    <n v="20000"/>
    <n v="1"/>
    <n v="4000"/>
    <x v="2"/>
  </r>
  <r>
    <n v="11"/>
    <x v="10"/>
    <x v="1"/>
    <x v="1"/>
    <s v="T-shirt"/>
    <n v="1500"/>
    <n v="3"/>
    <n v="400"/>
    <x v="1"/>
  </r>
  <r>
    <n v="12"/>
    <x v="11"/>
    <x v="3"/>
    <x v="0"/>
    <s v="Tablet"/>
    <n v="12000"/>
    <n v="1"/>
    <n v="2500"/>
    <x v="0"/>
  </r>
  <r>
    <n v="13"/>
    <x v="12"/>
    <x v="2"/>
    <x v="2"/>
    <s v="Bed"/>
    <n v="25000"/>
    <n v="1"/>
    <n v="5000"/>
    <x v="2"/>
  </r>
  <r>
    <n v="14"/>
    <x v="13"/>
    <x v="0"/>
    <x v="1"/>
    <s v="Shirt"/>
    <n v="2200"/>
    <n v="2"/>
    <n v="600"/>
    <x v="0"/>
  </r>
  <r>
    <n v="15"/>
    <x v="14"/>
    <x v="1"/>
    <x v="0"/>
    <s v="Mobile"/>
    <n v="17000"/>
    <n v="2"/>
    <n v="3200"/>
    <x v="1"/>
  </r>
  <r>
    <n v="16"/>
    <x v="15"/>
    <x v="3"/>
    <x v="2"/>
    <s v="Chair"/>
    <n v="5500"/>
    <n v="1"/>
    <n v="1300"/>
    <x v="2"/>
  </r>
  <r>
    <n v="17"/>
    <x v="16"/>
    <x v="2"/>
    <x v="1"/>
    <s v="Jeans"/>
    <n v="2700"/>
    <n v="2"/>
    <n v="750"/>
    <x v="0"/>
  </r>
  <r>
    <n v="18"/>
    <x v="17"/>
    <x v="0"/>
    <x v="0"/>
    <s v="Laptop"/>
    <n v="48000"/>
    <n v="1"/>
    <n v="9000"/>
    <x v="2"/>
  </r>
  <r>
    <n v="19"/>
    <x v="18"/>
    <x v="1"/>
    <x v="2"/>
    <s v="Table"/>
    <n v="7500"/>
    <n v="1"/>
    <n v="1600"/>
    <x v="0"/>
  </r>
  <r>
    <n v="20"/>
    <x v="19"/>
    <x v="3"/>
    <x v="1"/>
    <s v="Jacket"/>
    <n v="3800"/>
    <n v="2"/>
    <n v="1000"/>
    <x v="1"/>
  </r>
  <r>
    <n v="21"/>
    <x v="20"/>
    <x v="2"/>
    <x v="0"/>
    <s v="Headphones"/>
    <n v="3200"/>
    <n v="2"/>
    <n v="850"/>
    <x v="0"/>
  </r>
  <r>
    <n v="22"/>
    <x v="21"/>
    <x v="0"/>
    <x v="2"/>
    <s v="Sofa"/>
    <n v="21000"/>
    <n v="1"/>
    <n v="4200"/>
    <x v="1"/>
  </r>
  <r>
    <n v="23"/>
    <x v="22"/>
    <x v="1"/>
    <x v="1"/>
    <s v="T-shirt"/>
    <n v="1800"/>
    <n v="3"/>
    <n v="450"/>
    <x v="2"/>
  </r>
  <r>
    <n v="24"/>
    <x v="23"/>
    <x v="3"/>
    <x v="0"/>
    <s v="Tablet"/>
    <n v="13000"/>
    <n v="1"/>
    <n v="2700"/>
    <x v="0"/>
  </r>
  <r>
    <n v="25"/>
    <x v="24"/>
    <x v="2"/>
    <x v="2"/>
    <s v="Chair"/>
    <n v="5200"/>
    <n v="1"/>
    <n v="1100"/>
    <x v="1"/>
  </r>
  <r>
    <n v="26"/>
    <x v="25"/>
    <x v="0"/>
    <x v="0"/>
    <s v="Mobile"/>
    <n v="16000"/>
    <n v="2"/>
    <n v="3100"/>
    <x v="0"/>
  </r>
  <r>
    <n v="27"/>
    <x v="26"/>
    <x v="1"/>
    <x v="1"/>
    <s v="Jeans"/>
    <n v="2600"/>
    <n v="2"/>
    <n v="720"/>
    <x v="2"/>
  </r>
  <r>
    <n v="28"/>
    <x v="27"/>
    <x v="3"/>
    <x v="2"/>
    <s v="Bed"/>
    <n v="24000"/>
    <n v="1"/>
    <n v="4800"/>
    <x v="0"/>
  </r>
  <r>
    <n v="29"/>
    <x v="28"/>
    <x v="2"/>
    <x v="0"/>
    <s v="Laptop"/>
    <n v="46000"/>
    <n v="1"/>
    <n v="8200"/>
    <x v="1"/>
  </r>
  <r>
    <n v="30"/>
    <x v="29"/>
    <x v="0"/>
    <x v="1"/>
    <s v="Jacket"/>
    <n v="3400"/>
    <n v="2"/>
    <n v="95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8C1293-02D4-4DC9-9D4B-04CCA29A6E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10">
    <pivotField showAll="0"/>
    <pivotField numFmtId="14" showAll="0">
      <items count="31">
        <item x="0"/>
        <item x="1"/>
        <item x="24"/>
        <item x="2"/>
        <item x="3"/>
        <item x="25"/>
        <item x="4"/>
        <item x="5"/>
        <item x="26"/>
        <item x="6"/>
        <item x="7"/>
        <item x="27"/>
        <item x="8"/>
        <item x="9"/>
        <item x="28"/>
        <item x="10"/>
        <item x="11"/>
        <item x="29"/>
        <item x="12"/>
        <item x="13"/>
        <item x="14"/>
        <item x="15"/>
        <item x="16"/>
        <item x="17"/>
        <item x="18"/>
        <item x="19"/>
        <item x="20"/>
        <item x="21"/>
        <item x="22"/>
        <item x="23"/>
        <item t="default"/>
      </items>
    </pivotField>
    <pivotField axis="axisRow" showAll="0">
      <items count="5">
        <item x="3"/>
        <item x="0"/>
        <item x="1"/>
        <item x="2"/>
        <item t="default"/>
      </items>
    </pivotField>
    <pivotField showAll="0"/>
    <pivotField showAll="0"/>
    <pivotField dataField="1" showAll="0"/>
    <pivotField showAll="0"/>
    <pivotField showAll="0"/>
    <pivotField showAll="0">
      <items count="4">
        <item h="1" x="2"/>
        <item x="1"/>
        <item h="1" x="0"/>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formats count="6">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fieldPosition="0">
        <references count="1">
          <reference field="2" count="0"/>
        </references>
      </pivotArea>
    </format>
    <format dxfId="19">
      <pivotArea dataOnly="0" labelOnly="1" grandRow="1" outline="0" fieldPosition="0"/>
    </format>
    <format dxfId="18">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62B499-0775-463C-8901-C489EF7A04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10">
    <pivotField showAll="0"/>
    <pivotField numFmtId="14" showAll="0">
      <items count="31">
        <item x="0"/>
        <item x="1"/>
        <item x="24"/>
        <item x="2"/>
        <item x="3"/>
        <item x="25"/>
        <item x="4"/>
        <item x="5"/>
        <item x="26"/>
        <item x="6"/>
        <item x="7"/>
        <item x="27"/>
        <item x="8"/>
        <item x="9"/>
        <item x="28"/>
        <item x="10"/>
        <item x="11"/>
        <item x="29"/>
        <item x="12"/>
        <item x="13"/>
        <item x="14"/>
        <item x="15"/>
        <item x="16"/>
        <item x="17"/>
        <item x="18"/>
        <item x="19"/>
        <item x="20"/>
        <item x="21"/>
        <item x="22"/>
        <item x="23"/>
        <item t="default"/>
      </items>
    </pivotField>
    <pivotField showAll="0">
      <items count="5">
        <item h="1" x="3"/>
        <item h="1" x="0"/>
        <item x="1"/>
        <item h="1" x="2"/>
        <item t="default"/>
      </items>
    </pivotField>
    <pivotField axis="axisRow" showAll="0">
      <items count="4">
        <item x="1"/>
        <item h="1" x="0"/>
        <item h="1" x="2"/>
        <item t="default"/>
      </items>
    </pivotField>
    <pivotField showAll="0"/>
    <pivotField showAll="0"/>
    <pivotField showAll="0"/>
    <pivotField dataField="1" showAll="0"/>
    <pivotField showAll="0">
      <items count="4">
        <item h="1" x="2"/>
        <item x="1"/>
        <item h="1" x="0"/>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t="grand">
      <x/>
    </i>
  </rowItems>
  <colItems count="1">
    <i/>
  </colItems>
  <dataFields count="1">
    <dataField name="Sum of Profit" fld="7" baseField="0"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475EFD-4137-4A22-A217-7DCE0CC61A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2" firstHeaderRow="1" firstDataRow="1" firstDataCol="1"/>
  <pivotFields count="10">
    <pivotField showAll="0"/>
    <pivotField numFmtId="14" showAll="0">
      <items count="31">
        <item x="0"/>
        <item x="1"/>
        <item x="24"/>
        <item x="2"/>
        <item x="3"/>
        <item x="25"/>
        <item x="4"/>
        <item x="5"/>
        <item x="26"/>
        <item x="6"/>
        <item x="7"/>
        <item x="27"/>
        <item x="8"/>
        <item x="9"/>
        <item x="28"/>
        <item x="10"/>
        <item x="11"/>
        <item x="29"/>
        <item x="12"/>
        <item x="13"/>
        <item x="14"/>
        <item x="15"/>
        <item x="16"/>
        <item x="17"/>
        <item x="18"/>
        <item x="19"/>
        <item x="20"/>
        <item x="21"/>
        <item x="22"/>
        <item x="23"/>
        <item t="default"/>
      </items>
    </pivotField>
    <pivotField showAll="0"/>
    <pivotField showAll="0"/>
    <pivotField showAll="0"/>
    <pivotField dataField="1" showAll="0"/>
    <pivotField showAll="0"/>
    <pivotField showAll="0"/>
    <pivotField showAll="0">
      <items count="4">
        <item h="1" x="2"/>
        <item x="1"/>
        <item h="1" x="0"/>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9">
    <i>
      <x v="1"/>
    </i>
    <i>
      <x v="3"/>
    </i>
    <i>
      <x v="4"/>
    </i>
    <i>
      <x v="5"/>
    </i>
    <i>
      <x v="6"/>
    </i>
    <i>
      <x v="8"/>
    </i>
    <i>
      <x v="10"/>
    </i>
    <i>
      <x v="11"/>
    </i>
    <i t="grand">
      <x/>
    </i>
  </rowItems>
  <colItems count="1">
    <i/>
  </colItems>
  <dataFields count="1">
    <dataField name="Sum of Sales" fld="5" baseField="0" baseItem="0"/>
  </dataFields>
  <formats count="6">
    <format dxfId="11">
      <pivotArea type="all" dataOnly="0" outline="0" fieldPosition="0"/>
    </format>
    <format dxfId="10">
      <pivotArea outline="0" collapsedLevelsAreSubtotals="1" fieldPosition="0"/>
    </format>
    <format dxfId="9">
      <pivotArea field="9" type="button" dataOnly="0" labelOnly="1" outline="0" axis="axisRow" fieldPosition="0"/>
    </format>
    <format dxfId="8">
      <pivotArea dataOnly="0" labelOnly="1" fieldPosition="0">
        <references count="1">
          <reference field="9" count="12">
            <x v="1"/>
            <x v="2"/>
            <x v="3"/>
            <x v="4"/>
            <x v="5"/>
            <x v="6"/>
            <x v="7"/>
            <x v="8"/>
            <x v="9"/>
            <x v="10"/>
            <x v="11"/>
            <x v="12"/>
          </reference>
        </references>
      </pivotArea>
    </format>
    <format dxfId="7">
      <pivotArea dataOnly="0" labelOnly="1" grandRow="1" outline="0" fieldPosition="0"/>
    </format>
    <format dxfId="6">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DAA3F5-3A78-4D12-8D95-AD28EED5456F}" autoFormatId="16" applyNumberFormats="0" applyBorderFormats="0" applyFontFormats="0" applyPatternFormats="0" applyAlignmentFormats="0" applyWidthHeightFormats="0">
  <queryTableRefresh nextId="10">
    <queryTableFields count="9">
      <queryTableField id="1" name="Order ID" tableColumnId="1"/>
      <queryTableField id="2" name="Order Date" tableColumnId="2"/>
      <queryTableField id="3" name="Region" tableColumnId="3"/>
      <queryTableField id="4" name="Category" tableColumnId="4"/>
      <queryTableField id="5" name="Sub-Category" tableColumnId="5"/>
      <queryTableField id="6" name="Sales" tableColumnId="6"/>
      <queryTableField id="7" name="Quantity" tableColumnId="7"/>
      <queryTableField id="8" name="Profit" tableColumnId="8"/>
      <queryTableField id="9" name="Payment Mod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0A7370-3396-45B7-BDC0-C44D1B11792A}" sourceName="Region">
  <pivotTables>
    <pivotTable tabId="9" name="PivotTable4"/>
  </pivotTables>
  <data>
    <tabular pivotCacheId="479399438" sortOrder="descending">
      <items count="4">
        <i x="1" s="1"/>
        <i x="0"/>
        <i x="3"/>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A6C4B5-70F8-431A-BF83-3BC5288B1CF2}" sourceName="Category">
  <pivotTables>
    <pivotTable tabId="9" name="PivotTable4"/>
  </pivotTables>
  <data>
    <tabular pivotCacheId="479399438">
      <items count="3">
        <i x="1" s="1"/>
        <i x="0"/>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9F3AC85-E20E-4641-AEA6-C0AE9D81B3E5}" sourceName="Payment Mode">
  <pivotTables>
    <pivotTable tabId="9" name="PivotTable4"/>
    <pivotTable tabId="7" name="PivotTable3"/>
    <pivotTable tabId="10" name="PivotTable5"/>
  </pivotTables>
  <data>
    <tabular pivotCacheId="479399438">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411373-655B-46A9-99D1-3870802F7AA2}" cache="Slicer_Region" caption="Region" rowHeight="241300"/>
  <slicer name="Category" xr10:uid="{94A76123-6D5D-4498-B9F2-42CB86BD8AAB}" cache="Slicer_Category" caption="Category" rowHeight="241300"/>
  <slicer name="Payment Mode" xr10:uid="{F841CB64-31BC-4F79-A7E3-BC5CA7AAB0B0}" cache="Slicer_Payment_Mode" caption="Payment 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D827D0B-F3ED-4862-A418-4A4B4B708176}" cache="Slicer_Region" caption="Region" rowHeight="241300"/>
  <slicer name="Category 2" xr10:uid="{0C1F3844-1BD8-4B45-BEEA-76749393A903}" cache="Slicer_Category" caption="Category" rowHeight="241300"/>
  <slicer name="Payment Mode 1" xr10:uid="{8748BF5E-3F26-444D-8F09-1C31D8125F2A}" cache="Slicer_Payment_Mode" caption="Payment Mod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76766-010F-4BF6-BB32-1AFFF3ADA5C7}" name="SalesData" displayName="SalesData" ref="C5:K35" tableType="queryTable" totalsRowShown="0" dataDxfId="33">
  <autoFilter ref="C5:K35" xr:uid="{EDB76766-010F-4BF6-BB32-1AFFF3ADA5C7}"/>
  <tableColumns count="9">
    <tableColumn id="1" xr3:uid="{73F2D4C7-68DD-4F0F-A1C2-EA27702A265F}" uniqueName="1" name="Order ID" queryTableFieldId="1" dataDxfId="32"/>
    <tableColumn id="2" xr3:uid="{835A4D5D-8C8D-458F-BBD2-671E9A7A331D}" uniqueName="2" name="Order Date" queryTableFieldId="2" dataDxfId="31"/>
    <tableColumn id="3" xr3:uid="{DBC8212E-267B-496B-9889-87EF3EDF2F45}" uniqueName="3" name="Region" queryTableFieldId="3" dataDxfId="30"/>
    <tableColumn id="4" xr3:uid="{EEEB496A-8CCE-491D-9A6F-854DD714D2D0}" uniqueName="4" name="Category" queryTableFieldId="4" dataDxfId="29"/>
    <tableColumn id="5" xr3:uid="{7968856C-48DF-4588-8F89-150CF00B34C7}" uniqueName="5" name="Sub-Category" queryTableFieldId="5" dataDxfId="28"/>
    <tableColumn id="6" xr3:uid="{EC8F852E-DA47-4BCA-BCAB-D3B465BCA872}" uniqueName="6" name="Sales" queryTableFieldId="6" dataDxfId="27"/>
    <tableColumn id="7" xr3:uid="{D62C7434-05B8-4581-8514-5B89D97D2D09}" uniqueName="7" name="Quantity" queryTableFieldId="7" dataDxfId="26"/>
    <tableColumn id="8" xr3:uid="{05676A3E-BCFD-4AA8-A6CF-2CDC5716D9D1}" uniqueName="8" name="Profit" queryTableFieldId="8" dataDxfId="25"/>
    <tableColumn id="9" xr3:uid="{87E9B3E5-DF03-4DD4-878F-D1A42436D636}" uniqueName="9" name="Payment Mode" queryTableFieldId="9"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a:noFill/>
        </a:ln>
        <a:effectLst>
          <a:outerShdw blurRad="76200" dist="12700" dir="8100000" sy="-23000" kx="800400" algn="br" rotWithShape="0">
            <a:prstClr val="black">
              <a:alpha val="20000"/>
            </a:prstClr>
          </a:outerShdw>
          <a:reflection blurRad="6350" stA="52000" endA="300" endPos="35000" dir="5400000" sy="-100000" algn="bl" rotWithShape="0"/>
          <a:softEdge rad="31750"/>
        </a:effectLst>
        <a:scene3d>
          <a:camera prst="perspectiveFront"/>
          <a:lightRig rig="contrasting" dir="t">
            <a:rot lat="0" lon="0" rev="1500000"/>
          </a:lightRig>
        </a:scene3d>
        <a:sp3d prstMaterial="metal">
          <a:bevelT w="88900" h="88900"/>
        </a:sp3d>
      </a:spPr>
      <a:bodyPr vertOverflow="clip" horzOverflow="clip" rtlCol="0" anchor="t"/>
      <a:lstStyle>
        <a:defPPr algn="ctr">
          <a:defRPr sz="1200" b="0" i="0" u="none" strike="noStrike">
            <a:solidFill>
              <a:srgbClr val="00B050"/>
            </a:solidFill>
            <a:effectLst>
              <a:glow rad="63500">
                <a:schemeClr val="accent3">
                  <a:satMod val="175000"/>
                  <a:alpha val="40000"/>
                </a:schemeClr>
              </a:glow>
            </a:effectLst>
            <a:latin typeface="Calibri"/>
            <a:ea typeface="Calibri"/>
            <a:cs typeface="Calibri"/>
          </a:defRPr>
        </a:defPPr>
      </a:lstStyle>
      <a:style>
        <a:lnRef idx="0">
          <a:scrgbClr r="0" g="0" b="0"/>
        </a:lnRef>
        <a:fillRef idx="0">
          <a:scrgbClr r="0" g="0" b="0"/>
        </a:fillRef>
        <a:effectRef idx="0">
          <a:scrgbClr r="0" g="0" b="0"/>
        </a:effectRef>
        <a:fontRef idx="minor">
          <a:schemeClr val="accen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0FCA1-33BE-44EB-8DEC-4CC4A0A5F512}">
  <sheetPr>
    <tabColor theme="2" tint="-0.249977111117893"/>
  </sheetPr>
  <dimension ref="C5:K35"/>
  <sheetViews>
    <sheetView workbookViewId="0">
      <selection activeCell="C5" sqref="C5:K35"/>
    </sheetView>
  </sheetViews>
  <sheetFormatPr defaultRowHeight="15" x14ac:dyDescent="0.25"/>
  <cols>
    <col min="3" max="3" width="10.7109375" bestFit="1" customWidth="1"/>
    <col min="4" max="4" width="13" bestFit="1" customWidth="1"/>
    <col min="5" max="5" width="15.42578125" customWidth="1"/>
    <col min="6" max="6" width="14.7109375" customWidth="1"/>
    <col min="7" max="7" width="18" customWidth="1"/>
    <col min="8" max="8" width="11.85546875" customWidth="1"/>
    <col min="9" max="9" width="11" bestFit="1" customWidth="1"/>
    <col min="10" max="10" width="11.7109375" customWidth="1"/>
    <col min="11" max="11" width="17" bestFit="1" customWidth="1"/>
  </cols>
  <sheetData>
    <row r="5" spans="3:11" x14ac:dyDescent="0.25">
      <c r="C5" t="s">
        <v>0</v>
      </c>
      <c r="D5" t="s">
        <v>1</v>
      </c>
      <c r="E5" t="s">
        <v>2</v>
      </c>
      <c r="F5" t="s">
        <v>3</v>
      </c>
      <c r="G5" t="s">
        <v>4</v>
      </c>
      <c r="H5" t="s">
        <v>5</v>
      </c>
      <c r="I5" t="s">
        <v>6</v>
      </c>
      <c r="J5" t="s">
        <v>7</v>
      </c>
      <c r="K5" t="s">
        <v>8</v>
      </c>
    </row>
    <row r="6" spans="3:11" x14ac:dyDescent="0.25">
      <c r="C6" s="1">
        <v>1</v>
      </c>
      <c r="D6" s="2">
        <v>45296</v>
      </c>
      <c r="E6" s="1" t="s">
        <v>9</v>
      </c>
      <c r="F6" s="1" t="s">
        <v>10</v>
      </c>
      <c r="G6" s="1" t="s">
        <v>11</v>
      </c>
      <c r="H6" s="1">
        <v>15000</v>
      </c>
      <c r="I6" s="1">
        <v>2</v>
      </c>
      <c r="J6" s="1">
        <v>3000</v>
      </c>
      <c r="K6" s="1" t="s">
        <v>12</v>
      </c>
    </row>
    <row r="7" spans="3:11" x14ac:dyDescent="0.25">
      <c r="C7" s="1">
        <v>2</v>
      </c>
      <c r="D7" s="2">
        <v>45303</v>
      </c>
      <c r="E7" s="1" t="s">
        <v>13</v>
      </c>
      <c r="F7" s="1" t="s">
        <v>14</v>
      </c>
      <c r="G7" s="1" t="s">
        <v>15</v>
      </c>
      <c r="H7" s="1">
        <v>2000</v>
      </c>
      <c r="I7" s="1">
        <v>3</v>
      </c>
      <c r="J7" s="1">
        <v>500</v>
      </c>
      <c r="K7" s="1" t="s">
        <v>16</v>
      </c>
    </row>
    <row r="8" spans="3:11" x14ac:dyDescent="0.25">
      <c r="C8" s="1">
        <v>3</v>
      </c>
      <c r="D8" s="2">
        <v>45332</v>
      </c>
      <c r="E8" s="1" t="s">
        <v>17</v>
      </c>
      <c r="F8" s="1" t="s">
        <v>18</v>
      </c>
      <c r="G8" s="1" t="s">
        <v>19</v>
      </c>
      <c r="H8" s="1">
        <v>5000</v>
      </c>
      <c r="I8" s="1">
        <v>1</v>
      </c>
      <c r="J8" s="1">
        <v>1200</v>
      </c>
      <c r="K8" s="1" t="s">
        <v>20</v>
      </c>
    </row>
    <row r="9" spans="3:11" x14ac:dyDescent="0.25">
      <c r="C9" s="1">
        <v>4</v>
      </c>
      <c r="D9" s="2">
        <v>45340</v>
      </c>
      <c r="E9" s="1" t="s">
        <v>21</v>
      </c>
      <c r="F9" s="1" t="s">
        <v>10</v>
      </c>
      <c r="G9" s="1" t="s">
        <v>22</v>
      </c>
      <c r="H9" s="1">
        <v>45000</v>
      </c>
      <c r="I9" s="1">
        <v>1</v>
      </c>
      <c r="J9" s="1">
        <v>8000</v>
      </c>
      <c r="K9" s="1" t="s">
        <v>12</v>
      </c>
    </row>
    <row r="10" spans="3:11" x14ac:dyDescent="0.25">
      <c r="C10" s="1">
        <v>5</v>
      </c>
      <c r="D10" s="2">
        <v>45353</v>
      </c>
      <c r="E10" s="1" t="s">
        <v>9</v>
      </c>
      <c r="F10" s="1" t="s">
        <v>14</v>
      </c>
      <c r="G10" s="1" t="s">
        <v>23</v>
      </c>
      <c r="H10" s="1">
        <v>2500</v>
      </c>
      <c r="I10" s="1">
        <v>2</v>
      </c>
      <c r="J10" s="1">
        <v>700</v>
      </c>
      <c r="K10" s="1" t="s">
        <v>16</v>
      </c>
    </row>
    <row r="11" spans="3:11" x14ac:dyDescent="0.25">
      <c r="C11" s="1">
        <v>6</v>
      </c>
      <c r="D11" s="2">
        <v>45366</v>
      </c>
      <c r="E11" s="1" t="s">
        <v>17</v>
      </c>
      <c r="F11" s="1" t="s">
        <v>10</v>
      </c>
      <c r="G11" s="1" t="s">
        <v>24</v>
      </c>
      <c r="H11" s="1">
        <v>3000</v>
      </c>
      <c r="I11" s="1">
        <v>2</v>
      </c>
      <c r="J11" s="1">
        <v>800</v>
      </c>
      <c r="K11" s="1" t="s">
        <v>20</v>
      </c>
    </row>
    <row r="12" spans="3:11" x14ac:dyDescent="0.25">
      <c r="C12" s="1">
        <v>7</v>
      </c>
      <c r="D12" s="2">
        <v>45383</v>
      </c>
      <c r="E12" s="1" t="s">
        <v>13</v>
      </c>
      <c r="F12" s="1" t="s">
        <v>18</v>
      </c>
      <c r="G12" s="1" t="s">
        <v>25</v>
      </c>
      <c r="H12" s="1">
        <v>7000</v>
      </c>
      <c r="I12" s="1">
        <v>1</v>
      </c>
      <c r="J12" s="1">
        <v>1500</v>
      </c>
      <c r="K12" s="1" t="s">
        <v>12</v>
      </c>
    </row>
    <row r="13" spans="3:11" x14ac:dyDescent="0.25">
      <c r="C13" s="1">
        <v>8</v>
      </c>
      <c r="D13" s="2">
        <v>45394</v>
      </c>
      <c r="E13" s="1" t="s">
        <v>21</v>
      </c>
      <c r="F13" s="1" t="s">
        <v>14</v>
      </c>
      <c r="G13" s="1" t="s">
        <v>26</v>
      </c>
      <c r="H13" s="1">
        <v>3500</v>
      </c>
      <c r="I13" s="1">
        <v>2</v>
      </c>
      <c r="J13" s="1">
        <v>900</v>
      </c>
      <c r="K13" s="1" t="s">
        <v>16</v>
      </c>
    </row>
    <row r="14" spans="3:11" x14ac:dyDescent="0.25">
      <c r="C14" s="1">
        <v>9</v>
      </c>
      <c r="D14" s="2">
        <v>45417</v>
      </c>
      <c r="E14" s="1" t="s">
        <v>17</v>
      </c>
      <c r="F14" s="1" t="s">
        <v>10</v>
      </c>
      <c r="G14" s="1" t="s">
        <v>11</v>
      </c>
      <c r="H14" s="1">
        <v>18000</v>
      </c>
      <c r="I14" s="1">
        <v>2</v>
      </c>
      <c r="J14" s="1">
        <v>3500</v>
      </c>
      <c r="K14" s="1" t="s">
        <v>12</v>
      </c>
    </row>
    <row r="15" spans="3:11" x14ac:dyDescent="0.25">
      <c r="C15" s="1">
        <v>10</v>
      </c>
      <c r="D15" s="2">
        <v>45432</v>
      </c>
      <c r="E15" s="1" t="s">
        <v>9</v>
      </c>
      <c r="F15" s="1" t="s">
        <v>18</v>
      </c>
      <c r="G15" s="1" t="s">
        <v>27</v>
      </c>
      <c r="H15" s="1">
        <v>20000</v>
      </c>
      <c r="I15" s="1">
        <v>1</v>
      </c>
      <c r="J15" s="1">
        <v>4000</v>
      </c>
      <c r="K15" s="1" t="s">
        <v>20</v>
      </c>
    </row>
    <row r="16" spans="3:11" x14ac:dyDescent="0.25">
      <c r="C16" s="1">
        <v>11</v>
      </c>
      <c r="D16" s="2">
        <v>45446</v>
      </c>
      <c r="E16" s="1" t="s">
        <v>13</v>
      </c>
      <c r="F16" s="1" t="s">
        <v>14</v>
      </c>
      <c r="G16" s="1" t="s">
        <v>28</v>
      </c>
      <c r="H16" s="1">
        <v>1500</v>
      </c>
      <c r="I16" s="1">
        <v>3</v>
      </c>
      <c r="J16" s="1">
        <v>400</v>
      </c>
      <c r="K16" s="1" t="s">
        <v>16</v>
      </c>
    </row>
    <row r="17" spans="3:11" x14ac:dyDescent="0.25">
      <c r="C17" s="1">
        <v>12</v>
      </c>
      <c r="D17" s="2">
        <v>45461</v>
      </c>
      <c r="E17" s="1" t="s">
        <v>21</v>
      </c>
      <c r="F17" s="1" t="s">
        <v>10</v>
      </c>
      <c r="G17" s="1" t="s">
        <v>29</v>
      </c>
      <c r="H17" s="1">
        <v>12000</v>
      </c>
      <c r="I17" s="1">
        <v>1</v>
      </c>
      <c r="J17" s="1">
        <v>2500</v>
      </c>
      <c r="K17" s="1" t="s">
        <v>12</v>
      </c>
    </row>
    <row r="18" spans="3:11" x14ac:dyDescent="0.25">
      <c r="C18" s="1">
        <v>13</v>
      </c>
      <c r="D18" s="2">
        <v>45480</v>
      </c>
      <c r="E18" s="1" t="s">
        <v>17</v>
      </c>
      <c r="F18" s="1" t="s">
        <v>18</v>
      </c>
      <c r="G18" s="1" t="s">
        <v>30</v>
      </c>
      <c r="H18" s="1">
        <v>25000</v>
      </c>
      <c r="I18" s="1">
        <v>1</v>
      </c>
      <c r="J18" s="1">
        <v>5000</v>
      </c>
      <c r="K18" s="1" t="s">
        <v>20</v>
      </c>
    </row>
    <row r="19" spans="3:11" x14ac:dyDescent="0.25">
      <c r="C19" s="1">
        <v>14</v>
      </c>
      <c r="D19" s="2">
        <v>45492</v>
      </c>
      <c r="E19" s="1" t="s">
        <v>9</v>
      </c>
      <c r="F19" s="1" t="s">
        <v>14</v>
      </c>
      <c r="G19" s="1" t="s">
        <v>15</v>
      </c>
      <c r="H19" s="1">
        <v>2200</v>
      </c>
      <c r="I19" s="1">
        <v>2</v>
      </c>
      <c r="J19" s="1">
        <v>600</v>
      </c>
      <c r="K19" s="1" t="s">
        <v>12</v>
      </c>
    </row>
    <row r="20" spans="3:11" x14ac:dyDescent="0.25">
      <c r="C20" s="1">
        <v>15</v>
      </c>
      <c r="D20" s="2">
        <v>45506</v>
      </c>
      <c r="E20" s="1" t="s">
        <v>13</v>
      </c>
      <c r="F20" s="1" t="s">
        <v>10</v>
      </c>
      <c r="G20" s="1" t="s">
        <v>11</v>
      </c>
      <c r="H20" s="1">
        <v>17000</v>
      </c>
      <c r="I20" s="1">
        <v>2</v>
      </c>
      <c r="J20" s="1">
        <v>3200</v>
      </c>
      <c r="K20" s="1" t="s">
        <v>16</v>
      </c>
    </row>
    <row r="21" spans="3:11" x14ac:dyDescent="0.25">
      <c r="C21" s="1">
        <v>16</v>
      </c>
      <c r="D21" s="2">
        <v>45519</v>
      </c>
      <c r="E21" s="1" t="s">
        <v>21</v>
      </c>
      <c r="F21" s="1" t="s">
        <v>18</v>
      </c>
      <c r="G21" s="1" t="s">
        <v>19</v>
      </c>
      <c r="H21" s="1">
        <v>5500</v>
      </c>
      <c r="I21" s="1">
        <v>1</v>
      </c>
      <c r="J21" s="1">
        <v>1300</v>
      </c>
      <c r="K21" s="1" t="s">
        <v>20</v>
      </c>
    </row>
    <row r="22" spans="3:11" x14ac:dyDescent="0.25">
      <c r="C22" s="1">
        <v>17</v>
      </c>
      <c r="D22" s="2">
        <v>45536</v>
      </c>
      <c r="E22" s="1" t="s">
        <v>17</v>
      </c>
      <c r="F22" s="1" t="s">
        <v>14</v>
      </c>
      <c r="G22" s="1" t="s">
        <v>23</v>
      </c>
      <c r="H22" s="1">
        <v>2700</v>
      </c>
      <c r="I22" s="1">
        <v>2</v>
      </c>
      <c r="J22" s="1">
        <v>750</v>
      </c>
      <c r="K22" s="1" t="s">
        <v>12</v>
      </c>
    </row>
    <row r="23" spans="3:11" x14ac:dyDescent="0.25">
      <c r="C23" s="1">
        <v>18</v>
      </c>
      <c r="D23" s="2">
        <v>45553</v>
      </c>
      <c r="E23" s="1" t="s">
        <v>9</v>
      </c>
      <c r="F23" s="1" t="s">
        <v>10</v>
      </c>
      <c r="G23" s="1" t="s">
        <v>22</v>
      </c>
      <c r="H23" s="1">
        <v>48000</v>
      </c>
      <c r="I23" s="1">
        <v>1</v>
      </c>
      <c r="J23" s="1">
        <v>9000</v>
      </c>
      <c r="K23" s="1" t="s">
        <v>20</v>
      </c>
    </row>
    <row r="24" spans="3:11" x14ac:dyDescent="0.25">
      <c r="C24" s="1">
        <v>19</v>
      </c>
      <c r="D24" s="2">
        <v>45570</v>
      </c>
      <c r="E24" s="1" t="s">
        <v>13</v>
      </c>
      <c r="F24" s="1" t="s">
        <v>18</v>
      </c>
      <c r="G24" s="1" t="s">
        <v>25</v>
      </c>
      <c r="H24" s="1">
        <v>7500</v>
      </c>
      <c r="I24" s="1">
        <v>1</v>
      </c>
      <c r="J24" s="1">
        <v>1600</v>
      </c>
      <c r="K24" s="1" t="s">
        <v>12</v>
      </c>
    </row>
    <row r="25" spans="3:11" x14ac:dyDescent="0.25">
      <c r="C25" s="1">
        <v>20</v>
      </c>
      <c r="D25" s="2">
        <v>45585</v>
      </c>
      <c r="E25" s="1" t="s">
        <v>21</v>
      </c>
      <c r="F25" s="1" t="s">
        <v>14</v>
      </c>
      <c r="G25" s="1" t="s">
        <v>26</v>
      </c>
      <c r="H25" s="1">
        <v>3800</v>
      </c>
      <c r="I25" s="1">
        <v>2</v>
      </c>
      <c r="J25" s="1">
        <v>1000</v>
      </c>
      <c r="K25" s="1" t="s">
        <v>16</v>
      </c>
    </row>
    <row r="26" spans="3:11" x14ac:dyDescent="0.25">
      <c r="C26" s="1">
        <v>21</v>
      </c>
      <c r="D26" s="2">
        <v>45599</v>
      </c>
      <c r="E26" s="1" t="s">
        <v>17</v>
      </c>
      <c r="F26" s="1" t="s">
        <v>10</v>
      </c>
      <c r="G26" s="1" t="s">
        <v>24</v>
      </c>
      <c r="H26" s="1">
        <v>3200</v>
      </c>
      <c r="I26" s="1">
        <v>2</v>
      </c>
      <c r="J26" s="1">
        <v>850</v>
      </c>
      <c r="K26" s="1" t="s">
        <v>12</v>
      </c>
    </row>
    <row r="27" spans="3:11" x14ac:dyDescent="0.25">
      <c r="C27" s="1">
        <v>22</v>
      </c>
      <c r="D27" s="2">
        <v>45611</v>
      </c>
      <c r="E27" s="1" t="s">
        <v>9</v>
      </c>
      <c r="F27" s="1" t="s">
        <v>18</v>
      </c>
      <c r="G27" s="1" t="s">
        <v>27</v>
      </c>
      <c r="H27" s="1">
        <v>21000</v>
      </c>
      <c r="I27" s="1">
        <v>1</v>
      </c>
      <c r="J27" s="1">
        <v>4200</v>
      </c>
      <c r="K27" s="1" t="s">
        <v>16</v>
      </c>
    </row>
    <row r="28" spans="3:11" x14ac:dyDescent="0.25">
      <c r="C28" s="1">
        <v>23</v>
      </c>
      <c r="D28" s="2">
        <v>45627</v>
      </c>
      <c r="E28" s="1" t="s">
        <v>13</v>
      </c>
      <c r="F28" s="1" t="s">
        <v>14</v>
      </c>
      <c r="G28" s="1" t="s">
        <v>28</v>
      </c>
      <c r="H28" s="1">
        <v>1800</v>
      </c>
      <c r="I28" s="1">
        <v>3</v>
      </c>
      <c r="J28" s="1">
        <v>450</v>
      </c>
      <c r="K28" s="1" t="s">
        <v>20</v>
      </c>
    </row>
    <row r="29" spans="3:11" x14ac:dyDescent="0.25">
      <c r="C29" s="1">
        <v>24</v>
      </c>
      <c r="D29" s="2">
        <v>45644</v>
      </c>
      <c r="E29" s="1" t="s">
        <v>21</v>
      </c>
      <c r="F29" s="1" t="s">
        <v>10</v>
      </c>
      <c r="G29" s="1" t="s">
        <v>29</v>
      </c>
      <c r="H29" s="1">
        <v>13000</v>
      </c>
      <c r="I29" s="1">
        <v>1</v>
      </c>
      <c r="J29" s="1">
        <v>2700</v>
      </c>
      <c r="K29" s="1" t="s">
        <v>12</v>
      </c>
    </row>
    <row r="30" spans="3:11" x14ac:dyDescent="0.25">
      <c r="C30" s="1">
        <v>25</v>
      </c>
      <c r="D30" s="2">
        <v>45316</v>
      </c>
      <c r="E30" s="1" t="s">
        <v>17</v>
      </c>
      <c r="F30" s="1" t="s">
        <v>18</v>
      </c>
      <c r="G30" s="1" t="s">
        <v>19</v>
      </c>
      <c r="H30" s="1">
        <v>5200</v>
      </c>
      <c r="I30" s="1">
        <v>1</v>
      </c>
      <c r="J30" s="1">
        <v>1100</v>
      </c>
      <c r="K30" s="1" t="s">
        <v>16</v>
      </c>
    </row>
    <row r="31" spans="3:11" x14ac:dyDescent="0.25">
      <c r="C31" s="1">
        <v>26</v>
      </c>
      <c r="D31" s="2">
        <v>45350</v>
      </c>
      <c r="E31" s="1" t="s">
        <v>9</v>
      </c>
      <c r="F31" s="1" t="s">
        <v>10</v>
      </c>
      <c r="G31" s="1" t="s">
        <v>11</v>
      </c>
      <c r="H31" s="1">
        <v>16000</v>
      </c>
      <c r="I31" s="1">
        <v>2</v>
      </c>
      <c r="J31" s="1">
        <v>3100</v>
      </c>
      <c r="K31" s="1" t="s">
        <v>12</v>
      </c>
    </row>
    <row r="32" spans="3:11" x14ac:dyDescent="0.25">
      <c r="C32" s="1">
        <v>27</v>
      </c>
      <c r="D32" s="2">
        <v>45373</v>
      </c>
      <c r="E32" s="1" t="s">
        <v>13</v>
      </c>
      <c r="F32" s="1" t="s">
        <v>14</v>
      </c>
      <c r="G32" s="1" t="s">
        <v>23</v>
      </c>
      <c r="H32" s="1">
        <v>2600</v>
      </c>
      <c r="I32" s="1">
        <v>2</v>
      </c>
      <c r="J32" s="1">
        <v>720</v>
      </c>
      <c r="K32" s="1" t="s">
        <v>20</v>
      </c>
    </row>
    <row r="33" spans="3:11" x14ac:dyDescent="0.25">
      <c r="C33" s="1">
        <v>28</v>
      </c>
      <c r="D33" s="2">
        <v>45407</v>
      </c>
      <c r="E33" s="1" t="s">
        <v>21</v>
      </c>
      <c r="F33" s="1" t="s">
        <v>18</v>
      </c>
      <c r="G33" s="1" t="s">
        <v>30</v>
      </c>
      <c r="H33" s="1">
        <v>24000</v>
      </c>
      <c r="I33" s="1">
        <v>1</v>
      </c>
      <c r="J33" s="1">
        <v>4800</v>
      </c>
      <c r="K33" s="1" t="s">
        <v>12</v>
      </c>
    </row>
    <row r="34" spans="3:11" x14ac:dyDescent="0.25">
      <c r="C34" s="1">
        <v>29</v>
      </c>
      <c r="D34" s="2">
        <v>45442</v>
      </c>
      <c r="E34" s="1" t="s">
        <v>17</v>
      </c>
      <c r="F34" s="1" t="s">
        <v>10</v>
      </c>
      <c r="G34" s="1" t="s">
        <v>22</v>
      </c>
      <c r="H34" s="1">
        <v>46000</v>
      </c>
      <c r="I34" s="1">
        <v>1</v>
      </c>
      <c r="J34" s="1">
        <v>8200</v>
      </c>
      <c r="K34" s="1" t="s">
        <v>16</v>
      </c>
    </row>
    <row r="35" spans="3:11" x14ac:dyDescent="0.25">
      <c r="C35" s="1">
        <v>30</v>
      </c>
      <c r="D35" s="2">
        <v>45468</v>
      </c>
      <c r="E35" s="1" t="s">
        <v>9</v>
      </c>
      <c r="F35" s="1" t="s">
        <v>14</v>
      </c>
      <c r="G35" s="1" t="s">
        <v>26</v>
      </c>
      <c r="H35" s="1">
        <v>3400</v>
      </c>
      <c r="I35" s="1">
        <v>2</v>
      </c>
      <c r="J35" s="1">
        <v>950</v>
      </c>
      <c r="K35" s="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FC48-A28D-4A65-84F9-B007D0B879E7}">
  <sheetPr>
    <tabColor theme="4" tint="0.59999389629810485"/>
  </sheetPr>
  <dimension ref="A3:B8"/>
  <sheetViews>
    <sheetView workbookViewId="0">
      <selection activeCell="I23" sqref="I22:I23"/>
    </sheetView>
  </sheetViews>
  <sheetFormatPr defaultRowHeight="15" x14ac:dyDescent="0.25"/>
  <cols>
    <col min="1" max="1" width="13.140625" bestFit="1" customWidth="1"/>
    <col min="2" max="2" width="12.140625" bestFit="1" customWidth="1"/>
  </cols>
  <sheetData>
    <row r="3" spans="1:2" x14ac:dyDescent="0.25">
      <c r="A3" s="4" t="s">
        <v>31</v>
      </c>
      <c r="B3" s="5" t="s">
        <v>33</v>
      </c>
    </row>
    <row r="4" spans="1:2" x14ac:dyDescent="0.25">
      <c r="A4" s="6" t="s">
        <v>21</v>
      </c>
      <c r="B4" s="5">
        <v>7300</v>
      </c>
    </row>
    <row r="5" spans="1:2" x14ac:dyDescent="0.25">
      <c r="A5" s="6" t="s">
        <v>9</v>
      </c>
      <c r="B5" s="5">
        <v>23500</v>
      </c>
    </row>
    <row r="6" spans="1:2" x14ac:dyDescent="0.25">
      <c r="A6" s="6" t="s">
        <v>13</v>
      </c>
      <c r="B6" s="5">
        <v>20500</v>
      </c>
    </row>
    <row r="7" spans="1:2" x14ac:dyDescent="0.25">
      <c r="A7" s="6" t="s">
        <v>17</v>
      </c>
      <c r="B7" s="5">
        <v>51200</v>
      </c>
    </row>
    <row r="8" spans="1:2" x14ac:dyDescent="0.25">
      <c r="A8" s="6" t="s">
        <v>32</v>
      </c>
      <c r="B8" s="5">
        <v>102500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B310E-2DE0-4B6D-9B93-C843B6167F09}">
  <sheetPr>
    <tabColor theme="5" tint="0.39997558519241921"/>
  </sheetPr>
  <dimension ref="A3:B5"/>
  <sheetViews>
    <sheetView workbookViewId="0">
      <selection activeCell="C5" sqref="C5"/>
    </sheetView>
  </sheetViews>
  <sheetFormatPr defaultRowHeight="15" x14ac:dyDescent="0.25"/>
  <cols>
    <col min="1" max="1" width="13.140625" bestFit="1" customWidth="1"/>
    <col min="2" max="2" width="12.5703125" bestFit="1" customWidth="1"/>
  </cols>
  <sheetData>
    <row r="3" spans="1:2" x14ac:dyDescent="0.25">
      <c r="A3" s="4" t="s">
        <v>31</v>
      </c>
      <c r="B3" s="5" t="s">
        <v>34</v>
      </c>
    </row>
    <row r="4" spans="1:2" x14ac:dyDescent="0.25">
      <c r="A4" s="6" t="s">
        <v>14</v>
      </c>
      <c r="B4" s="14">
        <v>900</v>
      </c>
    </row>
    <row r="5" spans="1:2" x14ac:dyDescent="0.25">
      <c r="A5" s="6" t="s">
        <v>32</v>
      </c>
      <c r="B5" s="14">
        <v>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B7E7F-7964-47E1-8411-85687F9C4D13}">
  <sheetPr>
    <tabColor theme="7" tint="0.59999389629810485"/>
  </sheetPr>
  <dimension ref="A3:B12"/>
  <sheetViews>
    <sheetView workbookViewId="0">
      <selection activeCell="J8" sqref="J8"/>
    </sheetView>
  </sheetViews>
  <sheetFormatPr defaultRowHeight="15" x14ac:dyDescent="0.25"/>
  <cols>
    <col min="1" max="1" width="13.140625" bestFit="1" customWidth="1"/>
    <col min="2" max="2" width="12.140625" bestFit="1" customWidth="1"/>
  </cols>
  <sheetData>
    <row r="3" spans="1:2" x14ac:dyDescent="0.25">
      <c r="A3" s="4" t="s">
        <v>31</v>
      </c>
      <c r="B3" s="5" t="s">
        <v>33</v>
      </c>
    </row>
    <row r="4" spans="1:2" x14ac:dyDescent="0.25">
      <c r="A4" s="6" t="s">
        <v>35</v>
      </c>
      <c r="B4" s="5">
        <v>7200</v>
      </c>
    </row>
    <row r="5" spans="1:2" x14ac:dyDescent="0.25">
      <c r="A5" s="6" t="s">
        <v>36</v>
      </c>
      <c r="B5" s="5">
        <v>2500</v>
      </c>
    </row>
    <row r="6" spans="1:2" x14ac:dyDescent="0.25">
      <c r="A6" s="6" t="s">
        <v>37</v>
      </c>
      <c r="B6" s="5">
        <v>3500</v>
      </c>
    </row>
    <row r="7" spans="1:2" x14ac:dyDescent="0.25">
      <c r="A7" s="6" t="s">
        <v>38</v>
      </c>
      <c r="B7" s="5">
        <v>46000</v>
      </c>
    </row>
    <row r="8" spans="1:2" x14ac:dyDescent="0.25">
      <c r="A8" s="6" t="s">
        <v>39</v>
      </c>
      <c r="B8" s="5">
        <v>1500</v>
      </c>
    </row>
    <row r="9" spans="1:2" x14ac:dyDescent="0.25">
      <c r="A9" s="6" t="s">
        <v>40</v>
      </c>
      <c r="B9" s="5">
        <v>17000</v>
      </c>
    </row>
    <row r="10" spans="1:2" x14ac:dyDescent="0.25">
      <c r="A10" s="6" t="s">
        <v>41</v>
      </c>
      <c r="B10" s="5">
        <v>3800</v>
      </c>
    </row>
    <row r="11" spans="1:2" x14ac:dyDescent="0.25">
      <c r="A11" s="6" t="s">
        <v>42</v>
      </c>
      <c r="B11" s="5">
        <v>21000</v>
      </c>
    </row>
    <row r="12" spans="1:2" x14ac:dyDescent="0.25">
      <c r="A12" s="6" t="s">
        <v>32</v>
      </c>
      <c r="B12" s="5">
        <v>102500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E458-4070-4763-9F1D-064D786785E8}">
  <sheetPr>
    <tabColor theme="8" tint="0.59999389629810485"/>
  </sheetPr>
  <dimension ref="G4:AA60"/>
  <sheetViews>
    <sheetView showGridLines="0" tabSelected="1" zoomScale="85" zoomScaleNormal="85" workbookViewId="0">
      <selection activeCell="AC29" sqref="AC29"/>
    </sheetView>
  </sheetViews>
  <sheetFormatPr defaultRowHeight="15" x14ac:dyDescent="0.25"/>
  <cols>
    <col min="8" max="8" width="12.85546875" customWidth="1"/>
  </cols>
  <sheetData>
    <row r="4" spans="7:27" ht="15" customHeight="1" x14ac:dyDescent="0.25">
      <c r="H4" s="13" t="s">
        <v>43</v>
      </c>
      <c r="I4" s="13"/>
      <c r="J4" s="13"/>
      <c r="K4" s="13"/>
      <c r="L4" s="13"/>
      <c r="M4" s="13"/>
      <c r="N4" s="13"/>
      <c r="O4" s="13"/>
      <c r="P4" s="13"/>
      <c r="Q4" s="13"/>
      <c r="R4" s="13"/>
      <c r="S4" s="13"/>
      <c r="T4" s="13"/>
      <c r="U4" s="13"/>
      <c r="V4" s="13"/>
    </row>
    <row r="5" spans="7:27" ht="15" customHeight="1" x14ac:dyDescent="0.25">
      <c r="H5" s="13"/>
      <c r="I5" s="13"/>
      <c r="J5" s="13"/>
      <c r="K5" s="13"/>
      <c r="L5" s="13"/>
      <c r="M5" s="13"/>
      <c r="N5" s="13"/>
      <c r="O5" s="13"/>
      <c r="P5" s="13"/>
      <c r="Q5" s="13"/>
      <c r="R5" s="13"/>
      <c r="S5" s="13"/>
      <c r="T5" s="13"/>
      <c r="U5" s="13"/>
      <c r="V5" s="13"/>
    </row>
    <row r="6" spans="7:27" ht="15" customHeight="1" x14ac:dyDescent="0.25">
      <c r="H6" s="13"/>
      <c r="I6" s="13"/>
      <c r="J6" s="13"/>
      <c r="K6" s="13"/>
      <c r="L6" s="13"/>
      <c r="M6" s="13"/>
      <c r="N6" s="13"/>
      <c r="O6" s="13"/>
      <c r="P6" s="13"/>
      <c r="Q6" s="13"/>
      <c r="R6" s="13"/>
      <c r="S6" s="13"/>
      <c r="T6" s="13"/>
      <c r="U6" s="13"/>
      <c r="V6" s="13"/>
    </row>
    <row r="7" spans="7:27" x14ac:dyDescent="0.25">
      <c r="G7" s="3"/>
    </row>
    <row r="8" spans="7:27" ht="15.75" x14ac:dyDescent="0.25">
      <c r="AA8" s="12"/>
    </row>
    <row r="35" spans="14:19" ht="18.75" x14ac:dyDescent="0.3">
      <c r="N35" s="10"/>
      <c r="O35" s="10"/>
      <c r="P35" s="10"/>
      <c r="Q35" s="10"/>
      <c r="R35" s="11"/>
      <c r="S35" s="11"/>
    </row>
    <row r="36" spans="14:19" ht="18.75" x14ac:dyDescent="0.3">
      <c r="N36" s="10"/>
      <c r="O36" s="10"/>
      <c r="P36" s="10"/>
      <c r="Q36" s="10"/>
      <c r="R36" s="11"/>
      <c r="S36" s="11"/>
    </row>
    <row r="37" spans="14:19" ht="18.75" x14ac:dyDescent="0.3">
      <c r="N37" s="10"/>
      <c r="O37" s="10"/>
      <c r="P37" s="10"/>
      <c r="Q37" s="10"/>
      <c r="R37" s="11"/>
      <c r="S37" s="11"/>
    </row>
    <row r="38" spans="14:19" ht="18.75" x14ac:dyDescent="0.3">
      <c r="N38" s="10"/>
      <c r="O38" s="10"/>
      <c r="P38" s="10"/>
      <c r="Q38" s="10"/>
      <c r="R38" s="11"/>
      <c r="S38" s="11"/>
    </row>
    <row r="39" spans="14:19" ht="18.75" x14ac:dyDescent="0.3">
      <c r="N39" s="10"/>
      <c r="O39" s="10"/>
      <c r="P39" s="10"/>
      <c r="Q39" s="10"/>
      <c r="R39" s="11"/>
      <c r="S39" s="11"/>
    </row>
    <row r="40" spans="14:19" ht="18.75" x14ac:dyDescent="0.3">
      <c r="N40" s="10"/>
      <c r="O40" s="10"/>
      <c r="P40" s="10"/>
      <c r="Q40" s="10"/>
      <c r="R40" s="11"/>
      <c r="S40" s="11"/>
    </row>
    <row r="41" spans="14:19" ht="15.75" x14ac:dyDescent="0.25">
      <c r="O41" s="9"/>
      <c r="P41" s="9"/>
      <c r="Q41" s="9"/>
      <c r="R41" s="9"/>
    </row>
    <row r="50" spans="9:10" x14ac:dyDescent="0.25">
      <c r="I50" s="8">
        <f>SUM(SalesData[Sales])</f>
        <v>382400</v>
      </c>
    </row>
    <row r="52" spans="9:10" x14ac:dyDescent="0.25">
      <c r="I52" s="8">
        <f>SUM(SalesData[Profit])</f>
        <v>76520</v>
      </c>
    </row>
    <row r="54" spans="9:10" x14ac:dyDescent="0.25">
      <c r="I54">
        <f>COUNTA(SalesData[Order ID])</f>
        <v>30</v>
      </c>
    </row>
    <row r="58" spans="9:10" x14ac:dyDescent="0.25">
      <c r="J58" s="7"/>
    </row>
    <row r="60" spans="9:10" x14ac:dyDescent="0.25">
      <c r="I60" s="7"/>
    </row>
  </sheetData>
  <mergeCells count="1">
    <mergeCell ref="H4: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FEDA38-DEF9-48C1-8774-0955BE3D18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SalesData</vt:lpstr>
      <vt:lpstr>Pivot_Region</vt:lpstr>
      <vt:lpstr>Pivot_Category</vt:lpstr>
      <vt:lpstr>Pivot_trend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Deepu Maury</dc:creator>
  <cp:lastModifiedBy>Deepu Maury</cp:lastModifiedBy>
  <dcterms:created xsi:type="dcterms:W3CDTF">2026-04-21T04:36:49Z</dcterms:created>
  <dcterms:modified xsi:type="dcterms:W3CDTF">2026-09-06T06:41:56Z</dcterms:modified>
</cp:coreProperties>
</file>